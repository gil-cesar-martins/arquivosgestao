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4" codeName="{3D1A710C-6663-3D7B-7F91-EC182F24A4B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Christiane\Desktop\Kiki\"/>
    </mc:Choice>
  </mc:AlternateContent>
  <xr:revisionPtr revIDLastSave="0" documentId="13_ncr:1_{E98DD632-93AF-4611-B14F-1BA2814D0A36}" xr6:coauthVersionLast="36" xr6:coauthVersionMax="36" xr10:uidLastSave="{00000000-0000-0000-0000-000000000000}"/>
  <bookViews>
    <workbookView xWindow="0" yWindow="0" windowWidth="20490" windowHeight="7425" tabRatio="750" xr2:uid="{00000000-000D-0000-FFFF-FFFF00000000}"/>
  </bookViews>
  <sheets>
    <sheet name="Controle de pendências" sheetId="19" r:id="rId1"/>
    <sheet name="Controle_Revisao" sheetId="21" state="hidden" r:id="rId2"/>
  </sheets>
  <definedNames>
    <definedName name="_xlnm._FilterDatabase" localSheetId="0" hidden="1">'Controle de pendências'!$B$15:$M$15</definedName>
    <definedName name="_xlnm.Print_Area" localSheetId="0">'Controle de pendências'!$A$2:$M$123</definedName>
    <definedName name="FASE">#REF!</definedName>
    <definedName name="opsMin">MIN(#REF!)</definedName>
    <definedName name="prsMin">MIN(#REF!)</definedName>
    <definedName name="responsavel">#REF!</definedName>
    <definedName name="_xlnm.Print_Titles" localSheetId="0">'Controle de pendências'!$14:$15</definedName>
    <definedName name="TURNOS">#REF!</definedName>
    <definedName name="valuevx">42.314159</definedName>
    <definedName name="vertex42_copyright" hidden="1">"© 2006-2018 Vertex42 LLC"</definedName>
    <definedName name="vertex42_id" hidden="1">"gantt-chart_L.xlsx"</definedName>
    <definedName name="vertex42_title" hidden="1">"Gantt Chart Template"</definedName>
  </definedNames>
  <calcPr calcId="191029"/>
  <pivotCaches>
    <pivotCache cacheId="0" r:id="rId3"/>
  </pivotCaches>
</workbook>
</file>

<file path=xl/calcChain.xml><?xml version="1.0" encoding="utf-8"?>
<calcChain xmlns="http://schemas.openxmlformats.org/spreadsheetml/2006/main">
  <c r="J53" i="19" l="1"/>
  <c r="J54" i="19"/>
  <c r="J55" i="19"/>
  <c r="J56" i="19"/>
  <c r="I56" i="19" s="1"/>
  <c r="J57" i="19"/>
  <c r="J58" i="19"/>
  <c r="J59" i="19"/>
  <c r="J60" i="19"/>
  <c r="J61" i="19"/>
  <c r="J62" i="19"/>
  <c r="J63" i="19"/>
  <c r="I63" i="19" s="1"/>
  <c r="J64" i="19"/>
  <c r="I64" i="19" s="1"/>
  <c r="J65" i="19"/>
  <c r="I65" i="19" s="1"/>
  <c r="J66" i="19"/>
  <c r="I66" i="19" s="1"/>
  <c r="J67" i="19"/>
  <c r="I67" i="19" s="1"/>
  <c r="J68" i="19"/>
  <c r="I68" i="19" s="1"/>
  <c r="J69" i="19"/>
  <c r="J70" i="19"/>
  <c r="I70" i="19" s="1"/>
  <c r="J71" i="19"/>
  <c r="I71" i="19" s="1"/>
  <c r="J72" i="19"/>
  <c r="I72" i="19" s="1"/>
  <c r="J73" i="19"/>
  <c r="I73" i="19" s="1"/>
  <c r="J74" i="19"/>
  <c r="I74" i="19" s="1"/>
  <c r="J75" i="19"/>
  <c r="I75" i="19" s="1"/>
  <c r="J76" i="19"/>
  <c r="I76" i="19" s="1"/>
  <c r="J77" i="19"/>
  <c r="I77" i="19" s="1"/>
  <c r="J78" i="19"/>
  <c r="I78" i="19" s="1"/>
  <c r="J79" i="19"/>
  <c r="I79" i="19" s="1"/>
  <c r="J80" i="19"/>
  <c r="I80" i="19" s="1"/>
  <c r="J81" i="19"/>
  <c r="I81" i="19" s="1"/>
  <c r="J82" i="19"/>
  <c r="I82" i="19" s="1"/>
  <c r="J83" i="19"/>
  <c r="I83" i="19" s="1"/>
  <c r="J84" i="19"/>
  <c r="I84" i="19" s="1"/>
  <c r="J85" i="19"/>
  <c r="I85" i="19" s="1"/>
  <c r="J86" i="19"/>
  <c r="I86" i="19" s="1"/>
  <c r="J87" i="19"/>
  <c r="I87" i="19" s="1"/>
  <c r="J88" i="19"/>
  <c r="I88" i="19" s="1"/>
  <c r="J89" i="19"/>
  <c r="I89" i="19" s="1"/>
  <c r="J90" i="19"/>
  <c r="I90" i="19" s="1"/>
  <c r="J91" i="19"/>
  <c r="I91" i="19" s="1"/>
  <c r="J92" i="19"/>
  <c r="I92" i="19" s="1"/>
  <c r="J93" i="19"/>
  <c r="I93" i="19" s="1"/>
  <c r="J94" i="19"/>
  <c r="I94" i="19" s="1"/>
  <c r="J95" i="19"/>
  <c r="I95" i="19" s="1"/>
  <c r="J96" i="19"/>
  <c r="I96" i="19" s="1"/>
  <c r="J97" i="19"/>
  <c r="I97" i="19" s="1"/>
  <c r="J98" i="19"/>
  <c r="I98" i="19" s="1"/>
  <c r="J99" i="19"/>
  <c r="I99" i="19" s="1"/>
  <c r="J100" i="19"/>
  <c r="I100" i="19" s="1"/>
  <c r="J101" i="19"/>
  <c r="I101" i="19" s="1"/>
  <c r="E114" i="19"/>
  <c r="F122" i="19"/>
  <c r="E122" i="19"/>
  <c r="F121" i="19"/>
  <c r="E121" i="19"/>
  <c r="E120" i="19"/>
  <c r="F119" i="19"/>
  <c r="E119" i="19"/>
  <c r="E118" i="19"/>
  <c r="E117" i="19"/>
  <c r="E116" i="19"/>
  <c r="E115" i="19"/>
  <c r="E113" i="19"/>
  <c r="E112" i="19"/>
  <c r="E111" i="19"/>
  <c r="E110" i="19"/>
  <c r="E109" i="19"/>
  <c r="E108" i="19"/>
  <c r="E107" i="19"/>
  <c r="E106" i="19"/>
  <c r="E105" i="19"/>
  <c r="I69" i="19"/>
  <c r="B17" i="19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B28" i="19" s="1"/>
  <c r="B29" i="19" s="1"/>
  <c r="B30" i="19" s="1"/>
  <c r="B31" i="19" s="1"/>
  <c r="B32" i="19" s="1"/>
  <c r="B33" i="19" s="1"/>
  <c r="B34" i="19" s="1"/>
  <c r="B35" i="19" s="1"/>
  <c r="B36" i="19" s="1"/>
  <c r="B37" i="19" s="1"/>
  <c r="B38" i="19" s="1"/>
  <c r="B39" i="19" s="1"/>
  <c r="B40" i="19" s="1"/>
  <c r="B41" i="19" s="1"/>
  <c r="B42" i="19" s="1"/>
  <c r="B43" i="19" s="1"/>
  <c r="B44" i="19" s="1"/>
  <c r="B45" i="19" s="1"/>
  <c r="B46" i="19" s="1"/>
  <c r="B47" i="19" s="1"/>
  <c r="B48" i="19" s="1"/>
  <c r="B49" i="19" s="1"/>
  <c r="B50" i="19" s="1"/>
  <c r="B51" i="19" s="1"/>
  <c r="B52" i="19" s="1"/>
  <c r="B53" i="19" s="1"/>
  <c r="B54" i="19" s="1"/>
  <c r="B55" i="19" s="1"/>
  <c r="B56" i="19" s="1"/>
  <c r="B57" i="19" s="1"/>
  <c r="B58" i="19" s="1"/>
  <c r="B59" i="19" s="1"/>
  <c r="B60" i="19" s="1"/>
  <c r="B61" i="19" s="1"/>
  <c r="B62" i="19" s="1"/>
  <c r="B63" i="19" s="1"/>
  <c r="B64" i="19" s="1"/>
  <c r="B65" i="19" s="1"/>
  <c r="B66" i="19" s="1"/>
  <c r="B67" i="19" s="1"/>
  <c r="B68" i="19" s="1"/>
  <c r="B69" i="19" s="1"/>
  <c r="B70" i="19" s="1"/>
  <c r="B71" i="19" s="1"/>
  <c r="B72" i="19" s="1"/>
  <c r="B73" i="19" s="1"/>
  <c r="B74" i="19" s="1"/>
  <c r="B75" i="19" s="1"/>
  <c r="B76" i="19" s="1"/>
  <c r="B77" i="19" s="1"/>
  <c r="B78" i="19" s="1"/>
  <c r="B79" i="19" s="1"/>
  <c r="B80" i="19" s="1"/>
  <c r="B81" i="19" s="1"/>
  <c r="B82" i="19" s="1"/>
  <c r="B83" i="19" s="1"/>
  <c r="B84" i="19" s="1"/>
  <c r="B85" i="19" s="1"/>
  <c r="B86" i="19" s="1"/>
  <c r="B87" i="19" s="1"/>
  <c r="B88" i="19" s="1"/>
  <c r="B89" i="19" s="1"/>
  <c r="B90" i="19" s="1"/>
  <c r="B91" i="19" s="1"/>
  <c r="B92" i="19" s="1"/>
  <c r="B93" i="19" s="1"/>
  <c r="B94" i="19" s="1"/>
  <c r="B95" i="19" s="1"/>
  <c r="B96" i="19" s="1"/>
  <c r="B97" i="19" s="1"/>
  <c r="B98" i="19" s="1"/>
  <c r="B99" i="19" s="1"/>
  <c r="B100" i="19" s="1"/>
  <c r="B101" i="19" s="1"/>
  <c r="K14" i="19"/>
  <c r="J18" i="19" s="1"/>
  <c r="I18" i="19" s="1"/>
  <c r="L9" i="19"/>
  <c r="J128" i="19"/>
  <c r="J25" i="19" l="1"/>
  <c r="I25" i="19" s="1"/>
  <c r="J29" i="19"/>
  <c r="I29" i="19" s="1"/>
  <c r="J19" i="19"/>
  <c r="I19" i="19" s="1"/>
  <c r="J52" i="19"/>
  <c r="I52" i="19" s="1"/>
  <c r="J51" i="19"/>
  <c r="I51" i="19" s="1"/>
  <c r="J50" i="19"/>
  <c r="I50" i="19" s="1"/>
  <c r="J49" i="19"/>
  <c r="I49" i="19" s="1"/>
  <c r="J48" i="19"/>
  <c r="I48" i="19" s="1"/>
  <c r="J47" i="19"/>
  <c r="I47" i="19" s="1"/>
  <c r="J46" i="19"/>
  <c r="J45" i="19"/>
  <c r="I45" i="19" s="1"/>
  <c r="J44" i="19"/>
  <c r="I44" i="19" s="1"/>
  <c r="J43" i="19"/>
  <c r="I43" i="19" s="1"/>
  <c r="J42" i="19"/>
  <c r="J41" i="19"/>
  <c r="J40" i="19"/>
  <c r="J39" i="19"/>
  <c r="J37" i="19"/>
  <c r="J33" i="19"/>
  <c r="I33" i="19" s="1"/>
  <c r="J28" i="19"/>
  <c r="I28" i="19" s="1"/>
  <c r="J24" i="19"/>
  <c r="I24" i="19" s="1"/>
  <c r="J20" i="19"/>
  <c r="I20" i="19" s="1"/>
  <c r="J38" i="19"/>
  <c r="I38" i="19" s="1"/>
  <c r="J34" i="19"/>
  <c r="I34" i="19" s="1"/>
  <c r="J30" i="19"/>
  <c r="I30" i="19" s="1"/>
  <c r="J21" i="19"/>
  <c r="I21" i="19" s="1"/>
  <c r="J36" i="19"/>
  <c r="J32" i="19"/>
  <c r="I32" i="19" s="1"/>
  <c r="J27" i="19"/>
  <c r="I27" i="19" s="1"/>
  <c r="J23" i="19"/>
  <c r="I23" i="19" s="1"/>
  <c r="I62" i="19"/>
  <c r="J35" i="19"/>
  <c r="I35" i="19" s="1"/>
  <c r="J31" i="19"/>
  <c r="I31" i="19" s="1"/>
  <c r="J26" i="19"/>
  <c r="I26" i="19" s="1"/>
  <c r="J22" i="19"/>
  <c r="I22" i="19" s="1"/>
  <c r="J17" i="19"/>
  <c r="K12" i="19"/>
  <c r="J16" i="19"/>
  <c r="M10" i="19"/>
  <c r="G119" i="19"/>
  <c r="G122" i="19"/>
  <c r="G121" i="19"/>
  <c r="I53" i="19"/>
  <c r="I57" i="19"/>
  <c r="I61" i="19"/>
  <c r="I60" i="19"/>
  <c r="I55" i="19"/>
  <c r="I59" i="19"/>
  <c r="I54" i="19"/>
  <c r="I58" i="19"/>
  <c r="F110" i="19" l="1"/>
  <c r="G110" i="19" s="1"/>
  <c r="I16" i="19"/>
  <c r="F113" i="19"/>
  <c r="G113" i="19" s="1"/>
  <c r="I17" i="19"/>
  <c r="F116" i="19"/>
  <c r="G116" i="19" s="1"/>
  <c r="F106" i="19"/>
  <c r="G106" i="19" s="1"/>
  <c r="I36" i="19"/>
  <c r="F107" i="19"/>
  <c r="G107" i="19" s="1"/>
  <c r="F105" i="19"/>
  <c r="G105" i="19" s="1"/>
  <c r="F120" i="19"/>
  <c r="G120" i="19" s="1"/>
  <c r="F109" i="19"/>
  <c r="G109" i="19" s="1"/>
  <c r="K9" i="19"/>
  <c r="K4" i="19"/>
  <c r="F108" i="19"/>
  <c r="G108" i="19" s="1"/>
  <c r="I46" i="19"/>
  <c r="J10" i="19"/>
  <c r="L10" i="19"/>
  <c r="F111" i="19"/>
  <c r="G111" i="19" s="1"/>
  <c r="K10" i="19"/>
  <c r="F112" i="19"/>
  <c r="G112" i="19" s="1"/>
  <c r="I41" i="19"/>
  <c r="I42" i="19"/>
  <c r="F115" i="19"/>
  <c r="G115" i="19" s="1"/>
  <c r="I40" i="19"/>
  <c r="F117" i="19"/>
  <c r="G117" i="19" s="1"/>
  <c r="I37" i="19"/>
  <c r="F118" i="19"/>
  <c r="G118" i="19" s="1"/>
  <c r="F114" i="19"/>
  <c r="G114" i="19" s="1"/>
  <c r="I39" i="19"/>
  <c r="I10" i="19" l="1"/>
</calcChain>
</file>

<file path=xl/sharedStrings.xml><?xml version="1.0" encoding="utf-8"?>
<sst xmlns="http://schemas.openxmlformats.org/spreadsheetml/2006/main" count="78" uniqueCount="59">
  <si>
    <t>Observação</t>
  </si>
  <si>
    <t>REV.</t>
  </si>
  <si>
    <t>DATA</t>
  </si>
  <si>
    <t>Status GERAL</t>
  </si>
  <si>
    <t>CONTROLE DE PENDÊNCIAS - PLANEJAMENTO DE MOBILIZAÇÃO</t>
  </si>
  <si>
    <t>Item</t>
  </si>
  <si>
    <t>Descrição</t>
  </si>
  <si>
    <t>Responsável</t>
  </si>
  <si>
    <t>Inicio</t>
  </si>
  <si>
    <t>Previsão</t>
  </si>
  <si>
    <t>Conclusão</t>
  </si>
  <si>
    <t>a</t>
  </si>
  <si>
    <t>Status</t>
  </si>
  <si>
    <t>-</t>
  </si>
  <si>
    <t>Resp.</t>
  </si>
  <si>
    <t>Demanda</t>
  </si>
  <si>
    <t>Realizado</t>
  </si>
  <si>
    <t>Pendente</t>
  </si>
  <si>
    <t>Jarbas</t>
  </si>
  <si>
    <t>Murilo</t>
  </si>
  <si>
    <t>Allan</t>
  </si>
  <si>
    <t>Jonatan</t>
  </si>
  <si>
    <t>Cláudio</t>
  </si>
  <si>
    <t xml:space="preserve">Aguinaldo </t>
  </si>
  <si>
    <t>Rótulos de Linha</t>
  </si>
  <si>
    <t>Total Geral</t>
  </si>
  <si>
    <t>Soma de Realizado</t>
  </si>
  <si>
    <t>Soma de Pendente</t>
  </si>
  <si>
    <t xml:space="preserve">STATUS GLOBAL </t>
  </si>
  <si>
    <t>Luana</t>
  </si>
  <si>
    <t>José Junior</t>
  </si>
  <si>
    <t>Renato Lima</t>
  </si>
  <si>
    <t xml:space="preserve">GERENTE: </t>
  </si>
  <si>
    <t xml:space="preserve">COORDENADOR: </t>
  </si>
  <si>
    <t xml:space="preserve">SUPERVISOR: </t>
  </si>
  <si>
    <t xml:space="preserve">Matheus </t>
  </si>
  <si>
    <t xml:space="preserve">Recrutamento </t>
  </si>
  <si>
    <t xml:space="preserve">Compras </t>
  </si>
  <si>
    <t xml:space="preserve">Segurança </t>
  </si>
  <si>
    <t xml:space="preserve">Bruna </t>
  </si>
  <si>
    <t>Joaquim Ailton</t>
  </si>
  <si>
    <t xml:space="preserve">Projetos </t>
  </si>
  <si>
    <t>Suprimentos</t>
  </si>
  <si>
    <t>Felipe Michel</t>
  </si>
  <si>
    <t xml:space="preserve">CENTRO DE CUSTO: </t>
  </si>
  <si>
    <t xml:space="preserve">CLIENTE: </t>
  </si>
  <si>
    <t xml:space="preserve">N° O.S.: </t>
  </si>
  <si>
    <t xml:space="preserve">LOCAL: </t>
  </si>
  <si>
    <t xml:space="preserve">DIRETOR RESPONSÁVEL: </t>
  </si>
  <si>
    <t xml:space="preserve">ADMINISTRATIVO: </t>
  </si>
  <si>
    <t xml:space="preserve">ÁREA DE ATUAÇÃO: </t>
  </si>
  <si>
    <t>INÍCIO:</t>
  </si>
  <si>
    <t xml:space="preserve">TÉRMINO: </t>
  </si>
  <si>
    <t xml:space="preserve">TÉCNICO DE PLANEJAMENTO: </t>
  </si>
  <si>
    <t xml:space="preserve">TÉCNICO DE SEGURANÇA: </t>
  </si>
  <si>
    <t>LISTA PRIORIDADES</t>
  </si>
  <si>
    <t>REVISÃO</t>
  </si>
  <si>
    <t>DESCRIÇÃO DA ALTERAÇÃO</t>
  </si>
  <si>
    <t>EMISSÃO INICIAL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</si>
</sst>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&quot;$&quot;* #,##0.00_);_(&quot;$&quot;* \(#,##0.00\);_(&quot;$&quot;* &quot;-&quot;??_);_(@_)"/>
    <numFmt numFmtId="165" formatCode="[$-F800]dddd\,\ mmmm\ dd\,\ yyyy"/>
    <numFmt numFmtId="166" formatCode="dd/mm/yy;@"/>
  </numFmts>
  <fonts count="54" x14ac:knownFonts="1">
    <font>
      <sz val="10"/>
      <name val="Arial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9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36"/>
      <name val="Calibri"/>
      <family val="2"/>
    </font>
    <font>
      <b/>
      <sz val="11"/>
      <color indexed="5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sz val="11"/>
      <color indexed="53"/>
      <name val="Calibri"/>
      <family val="2"/>
    </font>
    <font>
      <sz val="11"/>
      <color indexed="50"/>
      <name val="Calibri"/>
      <family val="2"/>
    </font>
    <font>
      <sz val="11"/>
      <color indexed="59"/>
      <name val="Calibri"/>
      <family val="2"/>
    </font>
    <font>
      <b/>
      <sz val="11"/>
      <color indexed="63"/>
      <name val="Calibri"/>
      <family val="2"/>
    </font>
    <font>
      <b/>
      <sz val="18"/>
      <color indexed="18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Arial"/>
      <family val="2"/>
    </font>
    <font>
      <sz val="11"/>
      <name val="Arial"/>
      <family val="2"/>
    </font>
    <font>
      <sz val="28"/>
      <color theme="1"/>
      <name val="Arial"/>
      <family val="2"/>
      <scheme val="major"/>
    </font>
    <font>
      <sz val="8"/>
      <name val="Arial"/>
      <family val="2"/>
      <scheme val="minor"/>
    </font>
    <font>
      <sz val="10"/>
      <name val="MS Sans Serif"/>
    </font>
    <font>
      <b/>
      <sz val="11"/>
      <color rgb="FF002060"/>
      <name val="Arial"/>
      <family val="2"/>
    </font>
    <font>
      <sz val="11"/>
      <color theme="1"/>
      <name val="Arial"/>
      <family val="2"/>
    </font>
    <font>
      <sz val="48"/>
      <color theme="0"/>
      <name val="Arial"/>
      <family val="2"/>
    </font>
    <font>
      <i/>
      <sz val="10"/>
      <color theme="0" tint="-0.14999847407452621"/>
      <name val="Arial"/>
      <family val="2"/>
    </font>
    <font>
      <i/>
      <sz val="10"/>
      <name val="Arial"/>
      <family val="2"/>
    </font>
    <font>
      <sz val="11"/>
      <color theme="0"/>
      <name val="Arial"/>
      <family val="2"/>
      <scheme val="minor"/>
    </font>
    <font>
      <sz val="18"/>
      <color theme="0"/>
      <name val="Arial"/>
      <family val="2"/>
      <scheme val="minor"/>
    </font>
    <font>
      <b/>
      <sz val="11"/>
      <color theme="0"/>
      <name val="Arial"/>
      <family val="2"/>
    </font>
    <font>
      <sz val="9"/>
      <color theme="1"/>
      <name val="Arial"/>
      <family val="2"/>
    </font>
    <font>
      <sz val="14"/>
      <color theme="0"/>
      <name val="Arial"/>
      <family val="2"/>
    </font>
    <font>
      <b/>
      <sz val="24"/>
      <color theme="1"/>
      <name val="Arial"/>
      <family val="2"/>
      <scheme val="minor"/>
    </font>
    <font>
      <b/>
      <sz val="9"/>
      <name val="Arial"/>
      <family val="2"/>
    </font>
    <font>
      <sz val="10"/>
      <name val="MS Sans Serif"/>
      <family val="2"/>
    </font>
    <font>
      <b/>
      <sz val="11"/>
      <color theme="0"/>
      <name val="Arial"/>
      <family val="2"/>
      <scheme val="minor"/>
    </font>
    <font>
      <sz val="12"/>
      <name val="Times New Roman"/>
      <family val="1"/>
    </font>
    <font>
      <b/>
      <sz val="24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sz val="26"/>
      <color rgb="FF002060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11"/>
      <color theme="1"/>
      <name val="Arial"/>
      <family val="2"/>
    </font>
    <font>
      <sz val="10.5"/>
      <color theme="1"/>
      <name val="Arial"/>
      <family val="2"/>
    </font>
    <font>
      <b/>
      <sz val="11"/>
      <color theme="1"/>
      <name val="Arial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46"/>
      </patternFill>
    </fill>
    <fill>
      <patternFill patternType="solid">
        <fgColor indexed="41"/>
      </patternFill>
    </fill>
    <fill>
      <patternFill patternType="solid">
        <fgColor indexed="26"/>
      </patternFill>
    </fill>
    <fill>
      <patternFill patternType="solid">
        <fgColor indexed="51"/>
      </patternFill>
    </fill>
    <fill>
      <patternFill patternType="solid">
        <fgColor indexed="61"/>
      </patternFill>
    </fill>
    <fill>
      <patternFill patternType="solid">
        <fgColor indexed="52"/>
      </patternFill>
    </fill>
    <fill>
      <patternFill patternType="solid">
        <fgColor indexed="20"/>
      </patternFill>
    </fill>
    <fill>
      <patternFill patternType="solid">
        <fgColor indexed="40"/>
      </patternFill>
    </fill>
    <fill>
      <patternFill patternType="solid">
        <fgColor indexed="29"/>
      </patternFill>
    </fill>
    <fill>
      <patternFill patternType="solid">
        <fgColor indexed="14"/>
      </patternFill>
    </fill>
    <fill>
      <patternFill patternType="solid">
        <fgColor indexed="23"/>
      </patternFill>
    </fill>
    <fill>
      <patternFill patternType="solid">
        <fgColor indexed="15"/>
      </patternFill>
    </fill>
    <fill>
      <patternFill patternType="solid">
        <fgColor indexed="10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2B82"/>
        <bgColor indexed="64"/>
      </patternFill>
    </fill>
  </fills>
  <borders count="3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51"/>
      </bottom>
      <diagonal/>
    </border>
    <border>
      <left/>
      <right/>
      <top/>
      <bottom style="medium">
        <color indexed="52"/>
      </bottom>
      <diagonal/>
    </border>
    <border>
      <left/>
      <right/>
      <top/>
      <bottom style="double">
        <color indexed="5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66">
    <xf numFmtId="0" fontId="0" fillId="0" borderId="0"/>
    <xf numFmtId="0" fontId="10" fillId="2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2" borderId="0" applyNumberFormat="0" applyBorder="0" applyAlignment="0" applyProtection="0"/>
    <xf numFmtId="0" fontId="10" fillId="4" borderId="0" applyNumberFormat="0" applyBorder="0" applyAlignment="0" applyProtection="0"/>
    <xf numFmtId="0" fontId="10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6" borderId="0" applyNumberFormat="0" applyBorder="0" applyAlignment="0" applyProtection="0"/>
    <xf numFmtId="0" fontId="10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8" borderId="0" applyNumberFormat="0" applyBorder="0" applyAlignment="0" applyProtection="0"/>
    <xf numFmtId="0" fontId="11" fillId="10" borderId="0" applyNumberFormat="0" applyBorder="0" applyAlignment="0" applyProtection="0"/>
    <xf numFmtId="0" fontId="11" fillId="11" borderId="0" applyNumberFormat="0" applyBorder="0" applyAlignment="0" applyProtection="0"/>
    <xf numFmtId="0" fontId="11" fillId="10" borderId="0" applyNumberFormat="0" applyBorder="0" applyAlignment="0" applyProtection="0"/>
    <xf numFmtId="0" fontId="11" fillId="12" borderId="0" applyNumberFormat="0" applyBorder="0" applyAlignment="0" applyProtection="0"/>
    <xf numFmtId="0" fontId="11" fillId="9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1" applyNumberFormat="0" applyAlignment="0" applyProtection="0"/>
    <xf numFmtId="0" fontId="14" fillId="18" borderId="2" applyNumberFormat="0" applyAlignment="0" applyProtection="0"/>
    <xf numFmtId="0" fontId="15" fillId="0" borderId="0" applyNumberFormat="0" applyFill="0" applyBorder="0" applyAlignment="0" applyProtection="0"/>
    <xf numFmtId="0" fontId="16" fillId="19" borderId="0" applyNumberFormat="0" applyBorder="0" applyAlignment="0" applyProtection="0"/>
    <xf numFmtId="0" fontId="17" fillId="0" borderId="3" applyNumberFormat="0" applyFill="0" applyAlignment="0" applyProtection="0"/>
    <xf numFmtId="0" fontId="18" fillId="0" borderId="4" applyNumberFormat="0" applyFill="0" applyAlignment="0" applyProtection="0"/>
    <xf numFmtId="0" fontId="19" fillId="0" borderId="5" applyNumberFormat="0" applyFill="0" applyAlignment="0" applyProtection="0"/>
    <xf numFmtId="0" fontId="19" fillId="0" borderId="0" applyNumberFormat="0" applyFill="0" applyBorder="0" applyAlignment="0" applyProtection="0"/>
    <xf numFmtId="0" fontId="20" fillId="11" borderId="1" applyNumberFormat="0" applyAlignment="0" applyProtection="0"/>
    <xf numFmtId="0" fontId="21" fillId="0" borderId="6" applyNumberFormat="0" applyFill="0" applyAlignment="0" applyProtection="0"/>
    <xf numFmtId="0" fontId="22" fillId="5" borderId="0" applyNumberFormat="0" applyBorder="0" applyAlignment="0" applyProtection="0"/>
    <xf numFmtId="0" fontId="8" fillId="5" borderId="7" applyNumberFormat="0" applyFont="0" applyAlignment="0" applyProtection="0"/>
    <xf numFmtId="0" fontId="23" fillId="17" borderId="8" applyNumberFormat="0" applyAlignment="0" applyProtection="0"/>
    <xf numFmtId="9" fontId="6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9" applyNumberFormat="0" applyFill="0" applyAlignment="0" applyProtection="0"/>
    <xf numFmtId="0" fontId="26" fillId="0" borderId="0" applyNumberFormat="0" applyFill="0" applyBorder="0" applyAlignment="0" applyProtection="0"/>
    <xf numFmtId="0" fontId="6" fillId="0" borderId="0"/>
    <xf numFmtId="0" fontId="5" fillId="0" borderId="0"/>
    <xf numFmtId="0" fontId="29" fillId="0" borderId="0">
      <alignment horizontal="left"/>
    </xf>
    <xf numFmtId="0" fontId="30" fillId="0" borderId="0">
      <alignment horizontal="left" vertical="center"/>
    </xf>
    <xf numFmtId="0" fontId="4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3" fontId="31" fillId="0" borderId="10"/>
    <xf numFmtId="3" fontId="31" fillId="0" borderId="25"/>
    <xf numFmtId="40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0" fontId="3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2" fillId="0" borderId="0"/>
    <xf numFmtId="0" fontId="1" fillId="0" borderId="0"/>
  </cellStyleXfs>
  <cellXfs count="93">
    <xf numFmtId="0" fontId="0" fillId="0" borderId="0" xfId="0"/>
    <xf numFmtId="0" fontId="4" fillId="21" borderId="0" xfId="47" applyFill="1" applyAlignment="1">
      <alignment horizontal="center" vertical="center" wrapText="1"/>
    </xf>
    <xf numFmtId="0" fontId="4" fillId="21" borderId="0" xfId="47" applyFill="1" applyAlignment="1">
      <alignment vertical="center" wrapText="1"/>
    </xf>
    <xf numFmtId="0" fontId="36" fillId="21" borderId="21" xfId="47" applyFont="1" applyFill="1" applyBorder="1" applyAlignment="1">
      <alignment horizontal="center" vertical="center"/>
    </xf>
    <xf numFmtId="0" fontId="37" fillId="21" borderId="0" xfId="47" applyFont="1" applyFill="1" applyAlignment="1">
      <alignment vertical="center" wrapText="1"/>
    </xf>
    <xf numFmtId="0" fontId="33" fillId="21" borderId="0" xfId="47" applyFont="1" applyFill="1" applyAlignment="1">
      <alignment horizontal="center" vertical="center" wrapText="1"/>
    </xf>
    <xf numFmtId="0" fontId="33" fillId="21" borderId="0" xfId="47" applyFont="1" applyFill="1" applyAlignment="1">
      <alignment vertical="center" wrapText="1"/>
    </xf>
    <xf numFmtId="0" fontId="4" fillId="21" borderId="0" xfId="47" applyFill="1" applyAlignment="1">
      <alignment horizontal="left" vertical="center" wrapText="1"/>
    </xf>
    <xf numFmtId="0" fontId="0" fillId="21" borderId="0" xfId="0" applyFill="1"/>
    <xf numFmtId="0" fontId="37" fillId="21" borderId="0" xfId="47" applyFont="1" applyFill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33" fillId="21" borderId="32" xfId="47" applyFont="1" applyFill="1" applyBorder="1"/>
    <xf numFmtId="0" fontId="4" fillId="21" borderId="33" xfId="47" applyFill="1" applyBorder="1" applyAlignment="1">
      <alignment vertical="center" wrapText="1"/>
    </xf>
    <xf numFmtId="0" fontId="33" fillId="21" borderId="17" xfId="47" applyFont="1" applyFill="1" applyBorder="1"/>
    <xf numFmtId="0" fontId="4" fillId="21" borderId="18" xfId="47" applyFill="1" applyBorder="1" applyAlignment="1">
      <alignment vertical="center" wrapText="1"/>
    </xf>
    <xf numFmtId="0" fontId="33" fillId="21" borderId="19" xfId="47" applyFont="1" applyFill="1" applyBorder="1"/>
    <xf numFmtId="0" fontId="4" fillId="21" borderId="20" xfId="47" applyFill="1" applyBorder="1" applyAlignment="1">
      <alignment vertical="center" wrapText="1"/>
    </xf>
    <xf numFmtId="0" fontId="48" fillId="21" borderId="0" xfId="47" applyFont="1" applyFill="1" applyAlignment="1">
      <alignment horizontal="center" vertical="center" wrapText="1"/>
    </xf>
    <xf numFmtId="0" fontId="48" fillId="21" borderId="0" xfId="47" applyFont="1" applyFill="1" applyAlignment="1">
      <alignment vertical="center" wrapText="1"/>
    </xf>
    <xf numFmtId="0" fontId="33" fillId="21" borderId="34" xfId="47" applyFont="1" applyFill="1" applyBorder="1" applyAlignment="1">
      <alignment horizontal="center" vertical="center" wrapText="1"/>
    </xf>
    <xf numFmtId="9" fontId="37" fillId="21" borderId="0" xfId="39" applyFont="1" applyFill="1" applyAlignment="1">
      <alignment horizontal="left" vertical="center" wrapText="1"/>
    </xf>
    <xf numFmtId="0" fontId="33" fillId="0" borderId="0" xfId="47" applyFont="1" applyAlignment="1">
      <alignment vertical="center" wrapText="1"/>
    </xf>
    <xf numFmtId="0" fontId="41" fillId="21" borderId="34" xfId="47" applyFont="1" applyFill="1" applyBorder="1" applyAlignment="1">
      <alignment horizontal="center" vertical="center" wrapText="1"/>
    </xf>
    <xf numFmtId="166" fontId="33" fillId="21" borderId="34" xfId="47" applyNumberFormat="1" applyFont="1" applyFill="1" applyBorder="1" applyAlignment="1">
      <alignment horizontal="center" vertical="center" wrapText="1"/>
    </xf>
    <xf numFmtId="0" fontId="48" fillId="21" borderId="0" xfId="47" applyFont="1" applyFill="1" applyAlignment="1">
      <alignment horizontal="right" vertical="center" wrapText="1"/>
    </xf>
    <xf numFmtId="0" fontId="50" fillId="21" borderId="0" xfId="47" applyFont="1" applyFill="1" applyAlignment="1">
      <alignment horizontal="left" vertical="center" wrapText="1"/>
    </xf>
    <xf numFmtId="0" fontId="50" fillId="21" borderId="0" xfId="47" applyFont="1" applyFill="1" applyAlignment="1">
      <alignment horizontal="center" vertical="center" wrapText="1"/>
    </xf>
    <xf numFmtId="0" fontId="50" fillId="21" borderId="0" xfId="47" applyFont="1" applyFill="1" applyAlignment="1">
      <alignment horizontal="center" vertical="center"/>
    </xf>
    <xf numFmtId="0" fontId="48" fillId="21" borderId="0" xfId="47" applyFont="1" applyFill="1" applyAlignment="1">
      <alignment vertical="center"/>
    </xf>
    <xf numFmtId="0" fontId="48" fillId="21" borderId="0" xfId="47" applyFont="1" applyFill="1" applyAlignment="1">
      <alignment horizontal="left" vertical="center"/>
    </xf>
    <xf numFmtId="0" fontId="0" fillId="0" borderId="0" xfId="0" applyNumberFormat="1"/>
    <xf numFmtId="0" fontId="42" fillId="23" borderId="0" xfId="47" applyFont="1" applyFill="1" applyAlignment="1">
      <alignment vertical="center" wrapText="1"/>
    </xf>
    <xf numFmtId="0" fontId="42" fillId="23" borderId="0" xfId="47" applyFont="1" applyFill="1" applyAlignment="1">
      <alignment horizontal="center" vertical="center" wrapText="1"/>
    </xf>
    <xf numFmtId="14" fontId="38" fillId="23" borderId="0" xfId="47" applyNumberFormat="1" applyFont="1" applyFill="1" applyAlignment="1">
      <alignment horizontal="center" vertical="center" wrapText="1"/>
    </xf>
    <xf numFmtId="0" fontId="4" fillId="23" borderId="0" xfId="47" applyFill="1" applyAlignment="1">
      <alignment vertical="center" wrapText="1"/>
    </xf>
    <xf numFmtId="0" fontId="53" fillId="20" borderId="34" xfId="65" applyFont="1" applyFill="1" applyBorder="1" applyAlignment="1">
      <alignment horizontal="center"/>
    </xf>
    <xf numFmtId="0" fontId="1" fillId="0" borderId="0" xfId="65"/>
    <xf numFmtId="0" fontId="1" fillId="0" borderId="34" xfId="65" applyBorder="1" applyAlignment="1">
      <alignment horizontal="center" vertical="center"/>
    </xf>
    <xf numFmtId="14" fontId="1" fillId="0" borderId="34" xfId="65" applyNumberFormat="1" applyBorder="1" applyAlignment="1">
      <alignment horizontal="center" vertical="center"/>
    </xf>
    <xf numFmtId="0" fontId="1" fillId="0" borderId="34" xfId="65" applyFont="1" applyBorder="1" applyAlignment="1">
      <alignment horizontal="center" vertical="center" wrapText="1"/>
    </xf>
    <xf numFmtId="0" fontId="27" fillId="20" borderId="25" xfId="47" applyFont="1" applyFill="1" applyBorder="1" applyAlignment="1" applyProtection="1">
      <alignment horizontal="center" vertical="center"/>
    </xf>
    <xf numFmtId="0" fontId="27" fillId="20" borderId="25" xfId="47" applyFont="1" applyFill="1" applyBorder="1" applyAlignment="1" applyProtection="1">
      <alignment horizontal="center"/>
    </xf>
    <xf numFmtId="0" fontId="27" fillId="20" borderId="32" xfId="47" applyFont="1" applyFill="1" applyBorder="1" applyAlignment="1" applyProtection="1">
      <alignment horizontal="center"/>
    </xf>
    <xf numFmtId="0" fontId="39" fillId="23" borderId="0" xfId="47" applyFont="1" applyFill="1" applyAlignment="1" applyProtection="1">
      <alignment horizontal="center" vertical="center" wrapText="1"/>
    </xf>
    <xf numFmtId="0" fontId="32" fillId="23" borderId="0" xfId="47" applyFont="1" applyFill="1" applyAlignment="1" applyProtection="1">
      <alignment horizontal="center" vertical="center" wrapText="1"/>
    </xf>
    <xf numFmtId="0" fontId="27" fillId="21" borderId="34" xfId="47" applyFont="1" applyFill="1" applyBorder="1" applyProtection="1">
      <protection locked="0"/>
    </xf>
    <xf numFmtId="49" fontId="27" fillId="21" borderId="25" xfId="47" applyNumberFormat="1" applyFont="1" applyFill="1" applyBorder="1" applyAlignment="1" applyProtection="1">
      <alignment horizontal="center" vertical="center"/>
      <protection locked="0"/>
    </xf>
    <xf numFmtId="49" fontId="43" fillId="21" borderId="30" xfId="47" applyNumberFormat="1" applyFont="1" applyFill="1" applyBorder="1" applyAlignment="1" applyProtection="1">
      <alignment horizontal="center"/>
      <protection locked="0"/>
    </xf>
    <xf numFmtId="49" fontId="27" fillId="21" borderId="34" xfId="47" applyNumberFormat="1" applyFont="1" applyFill="1" applyBorder="1" applyAlignment="1" applyProtection="1">
      <alignment horizontal="center" vertical="center"/>
      <protection locked="0"/>
    </xf>
    <xf numFmtId="49" fontId="43" fillId="21" borderId="26" xfId="47" applyNumberFormat="1" applyFont="1" applyFill="1" applyBorder="1" applyAlignment="1" applyProtection="1">
      <alignment horizontal="center"/>
      <protection locked="0"/>
    </xf>
    <xf numFmtId="0" fontId="33" fillId="21" borderId="34" xfId="47" applyFont="1" applyFill="1" applyBorder="1" applyAlignment="1" applyProtection="1">
      <alignment horizontal="center" vertical="center" wrapText="1"/>
      <protection locked="0"/>
    </xf>
    <xf numFmtId="166" fontId="40" fillId="21" borderId="34" xfId="47" applyNumberFormat="1" applyFont="1" applyFill="1" applyBorder="1" applyAlignment="1" applyProtection="1">
      <alignment horizontal="center" vertical="center" wrapText="1"/>
      <protection locked="0"/>
    </xf>
    <xf numFmtId="166" fontId="40" fillId="0" borderId="34" xfId="47" applyNumberFormat="1" applyFont="1" applyBorder="1" applyAlignment="1" applyProtection="1">
      <alignment horizontal="center" vertical="center" wrapText="1"/>
      <protection locked="0"/>
    </xf>
    <xf numFmtId="0" fontId="33" fillId="21" borderId="28" xfId="47" applyFont="1" applyFill="1" applyBorder="1" applyAlignment="1" applyProtection="1">
      <alignment horizontal="center" vertical="center" wrapText="1"/>
      <protection locked="0"/>
    </xf>
    <xf numFmtId="166" fontId="40" fillId="0" borderId="28" xfId="47" applyNumberFormat="1" applyFont="1" applyBorder="1" applyAlignment="1" applyProtection="1">
      <alignment horizontal="center" vertical="center" wrapText="1"/>
      <protection locked="0"/>
    </xf>
    <xf numFmtId="0" fontId="47" fillId="23" borderId="35" xfId="47" applyFont="1" applyFill="1" applyBorder="1" applyAlignment="1" applyProtection="1">
      <alignment horizontal="center" vertical="center" wrapText="1"/>
    </xf>
    <xf numFmtId="0" fontId="47" fillId="23" borderId="36" xfId="47" applyFont="1" applyFill="1" applyBorder="1" applyAlignment="1" applyProtection="1">
      <alignment horizontal="center" vertical="center" wrapText="1"/>
    </xf>
    <xf numFmtId="0" fontId="52" fillId="21" borderId="30" xfId="47" applyFont="1" applyFill="1" applyBorder="1" applyAlignment="1" applyProtection="1">
      <alignment horizontal="center" vertical="center" wrapText="1"/>
      <protection locked="0"/>
    </xf>
    <xf numFmtId="0" fontId="52" fillId="21" borderId="31" xfId="47" applyFont="1" applyFill="1" applyBorder="1" applyAlignment="1" applyProtection="1">
      <alignment horizontal="center" vertical="center" wrapText="1"/>
      <protection locked="0"/>
    </xf>
    <xf numFmtId="0" fontId="27" fillId="20" borderId="34" xfId="47" applyFont="1" applyFill="1" applyBorder="1" applyAlignment="1" applyProtection="1">
      <alignment horizontal="center" vertical="center"/>
    </xf>
    <xf numFmtId="0" fontId="39" fillId="23" borderId="27" xfId="47" applyFont="1" applyFill="1" applyBorder="1" applyAlignment="1" applyProtection="1">
      <alignment horizontal="center" vertical="center" wrapText="1"/>
    </xf>
    <xf numFmtId="0" fontId="27" fillId="20" borderId="30" xfId="47" applyFont="1" applyFill="1" applyBorder="1" applyAlignment="1" applyProtection="1">
      <alignment horizontal="center" vertical="center"/>
    </xf>
    <xf numFmtId="0" fontId="27" fillId="20" borderId="31" xfId="47" applyFont="1" applyFill="1" applyBorder="1" applyAlignment="1" applyProtection="1">
      <alignment horizontal="center" vertical="center"/>
    </xf>
    <xf numFmtId="0" fontId="27" fillId="21" borderId="30" xfId="47" applyFont="1" applyFill="1" applyBorder="1" applyAlignment="1" applyProtection="1">
      <alignment horizontal="center"/>
      <protection locked="0"/>
    </xf>
    <xf numFmtId="0" fontId="27" fillId="21" borderId="31" xfId="47" applyFont="1" applyFill="1" applyBorder="1" applyAlignment="1" applyProtection="1">
      <alignment horizontal="center"/>
      <protection locked="0"/>
    </xf>
    <xf numFmtId="0" fontId="33" fillId="21" borderId="34" xfId="47" applyFont="1" applyFill="1" applyBorder="1" applyAlignment="1" applyProtection="1">
      <alignment horizontal="left" vertical="center" wrapText="1"/>
      <protection locked="0"/>
    </xf>
    <xf numFmtId="0" fontId="28" fillId="21" borderId="34" xfId="47" applyFont="1" applyFill="1" applyBorder="1" applyAlignment="1" applyProtection="1">
      <alignment horizontal="left" vertical="center" wrapText="1"/>
      <protection locked="0"/>
    </xf>
    <xf numFmtId="0" fontId="34" fillId="21" borderId="32" xfId="47" applyFont="1" applyFill="1" applyBorder="1" applyAlignment="1" applyProtection="1">
      <alignment horizontal="center" vertical="center"/>
    </xf>
    <xf numFmtId="0" fontId="34" fillId="21" borderId="17" xfId="47" applyFont="1" applyFill="1" applyBorder="1" applyAlignment="1" applyProtection="1">
      <alignment horizontal="center" vertical="center"/>
    </xf>
    <xf numFmtId="9" fontId="49" fillId="21" borderId="15" xfId="39" applyFont="1" applyFill="1" applyBorder="1" applyAlignment="1">
      <alignment horizontal="center" vertical="center" wrapText="1"/>
    </xf>
    <xf numFmtId="9" fontId="49" fillId="21" borderId="0" xfId="39" applyFont="1" applyFill="1" applyBorder="1" applyAlignment="1">
      <alignment horizontal="center" vertical="center" wrapText="1"/>
    </xf>
    <xf numFmtId="9" fontId="49" fillId="21" borderId="16" xfId="39" applyFont="1" applyFill="1" applyBorder="1" applyAlignment="1">
      <alignment horizontal="center" vertical="center" wrapText="1"/>
    </xf>
    <xf numFmtId="9" fontId="49" fillId="21" borderId="22" xfId="39" applyFont="1" applyFill="1" applyBorder="1" applyAlignment="1">
      <alignment horizontal="center" vertical="center" wrapText="1"/>
    </xf>
    <xf numFmtId="9" fontId="49" fillId="21" borderId="23" xfId="39" applyFont="1" applyFill="1" applyBorder="1" applyAlignment="1">
      <alignment horizontal="center" vertical="center" wrapText="1"/>
    </xf>
    <xf numFmtId="9" fontId="49" fillId="21" borderId="24" xfId="39" applyFont="1" applyFill="1" applyBorder="1" applyAlignment="1">
      <alignment horizontal="center" vertical="center" wrapText="1"/>
    </xf>
    <xf numFmtId="0" fontId="45" fillId="23" borderId="12" xfId="47" applyFont="1" applyFill="1" applyBorder="1" applyAlignment="1" applyProtection="1">
      <alignment horizontal="center" vertical="center" wrapText="1"/>
    </xf>
    <xf numFmtId="0" fontId="45" fillId="23" borderId="13" xfId="47" applyFont="1" applyFill="1" applyBorder="1" applyAlignment="1" applyProtection="1">
      <alignment horizontal="center" vertical="center" wrapText="1"/>
    </xf>
    <xf numFmtId="0" fontId="47" fillId="23" borderId="11" xfId="47" applyFont="1" applyFill="1" applyBorder="1" applyAlignment="1" applyProtection="1">
      <alignment horizontal="center" vertical="center" wrapText="1"/>
    </xf>
    <xf numFmtId="0" fontId="47" fillId="23" borderId="12" xfId="47" applyFont="1" applyFill="1" applyBorder="1" applyAlignment="1" applyProtection="1">
      <alignment horizontal="center" vertical="center" wrapText="1"/>
    </xf>
    <xf numFmtId="0" fontId="47" fillId="23" borderId="15" xfId="47" applyFont="1" applyFill="1" applyBorder="1" applyAlignment="1" applyProtection="1">
      <alignment horizontal="center" vertical="center" wrapText="1"/>
    </xf>
    <xf numFmtId="0" fontId="47" fillId="23" borderId="0" xfId="47" applyFont="1" applyFill="1" applyBorder="1" applyAlignment="1" applyProtection="1">
      <alignment horizontal="center" vertical="center" wrapText="1"/>
    </xf>
    <xf numFmtId="0" fontId="47" fillId="23" borderId="14" xfId="47" applyFont="1" applyFill="1" applyBorder="1" applyAlignment="1" applyProtection="1">
      <alignment horizontal="center" vertical="center" wrapText="1"/>
    </xf>
    <xf numFmtId="0" fontId="47" fillId="23" borderId="27" xfId="47" applyFont="1" applyFill="1" applyBorder="1" applyAlignment="1" applyProtection="1">
      <alignment horizontal="center" vertical="center" wrapText="1"/>
    </xf>
    <xf numFmtId="0" fontId="9" fillId="21" borderId="25" xfId="47" applyFont="1" applyFill="1" applyBorder="1" applyAlignment="1" applyProtection="1">
      <alignment horizontal="left" vertical="center" wrapText="1"/>
      <protection locked="0"/>
    </xf>
    <xf numFmtId="165" fontId="35" fillId="22" borderId="20" xfId="47" applyNumberFormat="1" applyFont="1" applyFill="1" applyBorder="1" applyAlignment="1" applyProtection="1">
      <alignment horizontal="center" vertical="center" wrapText="1"/>
    </xf>
    <xf numFmtId="165" fontId="35" fillId="22" borderId="21" xfId="47" applyNumberFormat="1" applyFont="1" applyFill="1" applyBorder="1" applyAlignment="1" applyProtection="1">
      <alignment horizontal="center" vertical="center" wrapText="1"/>
    </xf>
    <xf numFmtId="0" fontId="39" fillId="23" borderId="0" xfId="47" applyFont="1" applyFill="1" applyAlignment="1" applyProtection="1">
      <alignment horizontal="center" vertical="center" wrapText="1"/>
    </xf>
    <xf numFmtId="0" fontId="28" fillId="21" borderId="30" xfId="47" applyFont="1" applyFill="1" applyBorder="1" applyAlignment="1" applyProtection="1">
      <alignment horizontal="left" vertical="center" wrapText="1"/>
      <protection locked="0"/>
    </xf>
    <xf numFmtId="0" fontId="28" fillId="21" borderId="29" xfId="47" applyFont="1" applyFill="1" applyBorder="1" applyAlignment="1" applyProtection="1">
      <alignment horizontal="left" vertical="center" wrapText="1"/>
      <protection locked="0"/>
    </xf>
    <xf numFmtId="0" fontId="28" fillId="21" borderId="31" xfId="47" applyFont="1" applyFill="1" applyBorder="1" applyAlignment="1" applyProtection="1">
      <alignment horizontal="left" vertical="center" wrapText="1"/>
      <protection locked="0"/>
    </xf>
    <xf numFmtId="0" fontId="9" fillId="21" borderId="34" xfId="47" applyFont="1" applyFill="1" applyBorder="1" applyAlignment="1" applyProtection="1">
      <alignment horizontal="left" vertical="center" wrapText="1"/>
      <protection locked="0"/>
    </xf>
    <xf numFmtId="0" fontId="51" fillId="0" borderId="34" xfId="47" applyFont="1" applyFill="1" applyBorder="1" applyAlignment="1" applyProtection="1">
      <alignment horizontal="left" vertical="center" wrapText="1"/>
      <protection locked="0"/>
    </xf>
  </cellXfs>
  <cellStyles count="66">
    <cellStyle name="20% - Ênfase1" xfId="1" builtinId="30" customBuiltin="1"/>
    <cellStyle name="20% - Ênfase2" xfId="2" builtinId="34" customBuiltin="1"/>
    <cellStyle name="20% - Ênfase3" xfId="3" builtinId="38" customBuiltin="1"/>
    <cellStyle name="20% - Ênfase4" xfId="4" builtinId="42" customBuiltin="1"/>
    <cellStyle name="20% - Ênfase5" xfId="5" builtinId="46" customBuiltin="1"/>
    <cellStyle name="20% - Ênfase6" xfId="6" builtinId="50" customBuiltin="1"/>
    <cellStyle name="40% - Ênfase1" xfId="7" builtinId="31" customBuiltin="1"/>
    <cellStyle name="40% - Ênfase2" xfId="8" builtinId="35" customBuiltin="1"/>
    <cellStyle name="40% - Ênfase3" xfId="9" builtinId="39" customBuiltin="1"/>
    <cellStyle name="40% - Ênfase4" xfId="10" builtinId="43" customBuiltin="1"/>
    <cellStyle name="40% - Ênfase5" xfId="11" builtinId="47" customBuiltin="1"/>
    <cellStyle name="40% - Ênfase6" xfId="12" builtinId="51" customBuiltin="1"/>
    <cellStyle name="60% - Ênfase1" xfId="13" builtinId="32" customBuiltin="1"/>
    <cellStyle name="60% - Ênfase2" xfId="14" builtinId="36" customBuiltin="1"/>
    <cellStyle name="60% - Ênfase3" xfId="15" builtinId="40" customBuiltin="1"/>
    <cellStyle name="60% - Ênfase4" xfId="16" builtinId="44" customBuiltin="1"/>
    <cellStyle name="60% - Ênfase5" xfId="17" builtinId="48" customBuiltin="1"/>
    <cellStyle name="60% - Ênfase6" xfId="18" builtinId="52" customBuiltin="1"/>
    <cellStyle name="Bom" xfId="29" builtinId="26" customBuiltin="1"/>
    <cellStyle name="Cálculo" xfId="26" builtinId="22" customBuiltin="1"/>
    <cellStyle name="Célula de Verificação" xfId="27" builtinId="23" customBuiltin="1"/>
    <cellStyle name="Célula Vinculada" xfId="35" builtinId="24" customBuiltin="1"/>
    <cellStyle name="Company Name" xfId="46" xr:uid="{10198C95-C1B0-43CA-AC50-E6DECE46EB1F}"/>
    <cellStyle name="Ênfase1" xfId="19" builtinId="29" customBuiltin="1"/>
    <cellStyle name="Ênfase2" xfId="20" builtinId="33" customBuiltin="1"/>
    <cellStyle name="Ênfase3" xfId="21" builtinId="37" customBuiltin="1"/>
    <cellStyle name="Ênfase4" xfId="22" builtinId="41" customBuiltin="1"/>
    <cellStyle name="Ênfase5" xfId="23" builtinId="45" customBuiltin="1"/>
    <cellStyle name="Ênfase6" xfId="24" builtinId="49" customBuiltin="1"/>
    <cellStyle name="Entrada" xfId="34" builtinId="20" customBuiltin="1"/>
    <cellStyle name="Moeda 2" xfId="48" xr:uid="{6E1E75C2-213C-4AD9-B4BF-D8D28B59555F}"/>
    <cellStyle name="Neutro" xfId="36" builtinId="28" customBuiltin="1"/>
    <cellStyle name="Normal" xfId="0" builtinId="0"/>
    <cellStyle name="Normal 10" xfId="57" xr:uid="{8E284FB1-87C9-4724-93DE-55DED7ACFA7F}"/>
    <cellStyle name="Normal 11" xfId="58" xr:uid="{5306D226-70F1-4258-B9BB-8CB19C557189}"/>
    <cellStyle name="Normal 12" xfId="59" xr:uid="{305A4D6B-0152-4396-BC3A-39E05462C505}"/>
    <cellStyle name="Normal 13" xfId="62" xr:uid="{8DCB16ED-5CAC-4176-90A8-E17DC7EAE5A7}"/>
    <cellStyle name="Normal 14" xfId="60" xr:uid="{863E0E2D-06D5-4153-84F9-F8D472CF79C4}"/>
    <cellStyle name="Normal 15" xfId="61" xr:uid="{6F3B9E0B-4262-40A4-8737-12150F38DB3A}"/>
    <cellStyle name="Normal 16" xfId="63" xr:uid="{D49C06F9-8B9F-4382-BAA3-98A9A3D847E1}"/>
    <cellStyle name="Normal 2" xfId="43" xr:uid="{8090EBB9-9FA3-4B33-9C04-0EB1F3E52F69}"/>
    <cellStyle name="Normal 25" xfId="64" xr:uid="{70B3EE71-5B47-450A-8C67-9BA4388B13A5}"/>
    <cellStyle name="Normal 3" xfId="44" xr:uid="{D77772E8-D5B0-4005-8C69-82C15DC0DD4D}"/>
    <cellStyle name="Normal 3 2" xfId="65" xr:uid="{A8E4B1AB-1AA6-4A3F-910D-62AFFCF8406E}"/>
    <cellStyle name="Normal 4" xfId="47" xr:uid="{03C6DC5D-BFF8-452B-8ED3-4AAD276D0862}"/>
    <cellStyle name="Normal 5" xfId="50" xr:uid="{B30935C3-8029-4495-9322-48FCBE16B766}"/>
    <cellStyle name="Normal 6" xfId="51" xr:uid="{12B6597A-DA9B-4A53-82C3-E80E610B0EF3}"/>
    <cellStyle name="Normal 7" xfId="54" xr:uid="{B814C117-1170-43E2-B8EE-03967859F824}"/>
    <cellStyle name="Normal 8" xfId="55" xr:uid="{6E7A08BB-F0BB-40A2-B537-9CA62159E926}"/>
    <cellStyle name="Normal 9" xfId="56" xr:uid="{DB60F93C-44E6-4631-975B-8D41EB093A6E}"/>
    <cellStyle name="Nota" xfId="37" builtinId="10" customBuiltin="1"/>
    <cellStyle name="Porcentagem" xfId="39" builtinId="5"/>
    <cellStyle name="Porcentagem 2" xfId="49" xr:uid="{B0302990-C1E2-4506-AB76-42089E44F776}"/>
    <cellStyle name="Porcentagem 3" xfId="53" xr:uid="{1ABEAFD7-C6EE-49CE-B623-0D53B2706D87}"/>
    <cellStyle name="Ruim" xfId="25" builtinId="27" customBuiltin="1"/>
    <cellStyle name="Saída" xfId="38" builtinId="21" customBuiltin="1"/>
    <cellStyle name="Texto de Aviso" xfId="42" builtinId="11" customBuiltin="1"/>
    <cellStyle name="Texto Explicativo" xfId="28" builtinId="53" customBuiltin="1"/>
    <cellStyle name="Título" xfId="40" builtinId="15" customBuiltin="1"/>
    <cellStyle name="Título 1" xfId="30" builtinId="16" customBuiltin="1"/>
    <cellStyle name="Título 2" xfId="31" builtinId="17" customBuiltin="1"/>
    <cellStyle name="Título 3" xfId="32" builtinId="18" customBuiltin="1"/>
    <cellStyle name="Título 4" xfId="33" builtinId="19" customBuiltin="1"/>
    <cellStyle name="Título 5" xfId="45" xr:uid="{93889196-D1F3-4E48-B132-8332B9EC71DD}"/>
    <cellStyle name="Total" xfId="41" builtinId="25" customBuiltin="1"/>
    <cellStyle name="Vírgula 2" xfId="52" xr:uid="{498B554A-7CF5-43CA-A33A-BB99B0F140FE}"/>
  </cellStyles>
  <dxfs count="7"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4" tint="0.79998168889431442"/>
        </patternFill>
      </fill>
    </dxf>
    <dxf>
      <font>
        <color rgb="FFFF0000"/>
      </font>
      <fill>
        <patternFill>
          <bgColor theme="4" tint="0.79998168889431442"/>
        </patternFill>
      </fill>
    </dxf>
    <dxf>
      <font>
        <b/>
        <i val="0"/>
      </font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  <vertical/>
        <horizontal/>
      </border>
    </dxf>
    <dxf>
      <font>
        <sz val="9"/>
        <color theme="3"/>
      </font>
      <fill>
        <patternFill patternType="none">
          <bgColor auto="1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 style="dotted">
          <color theme="0" tint="-0.34998626667073579"/>
        </horizontal>
      </border>
    </dxf>
  </dxfs>
  <tableStyles count="1" defaultTableStyle="TableStyleMedium2" defaultPivotStyle="PivotStyleLight16">
    <tableStyle name="Expense Budget" pivot="0" count="3" xr9:uid="{ACEC7C5C-D684-411B-8F47-F5CE7A8F87AC}">
      <tableStyleElement type="wholeTable" dxfId="6"/>
      <tableStyleElement type="headerRow" dxfId="5"/>
      <tableStyleElement type="totalRow" dxfId="4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99FF99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ECFF"/>
      <rgbColor rgb="00D6F4D9"/>
      <rgbColor rgb="00FFFFCC"/>
      <rgbColor rgb="0099CCFF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  <mruColors>
      <color rgb="FF002B82"/>
      <color rgb="FF002E8A"/>
      <color rgb="FF00359E"/>
      <color rgb="FFFFFF99"/>
      <color rgb="FF00FF00"/>
      <color rgb="FF4D124E"/>
      <color rgb="FF000000"/>
      <color rgb="FFB4AA7A"/>
      <color rgb="FFFF9900"/>
      <color rgb="FF91D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[Lista de Prioridades (1).xlsm]Controle de pendências!Tabela dinâmica1</c:name>
    <c:fmtId val="0"/>
  </c:pivotSource>
  <c:chart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8892568218491505E-2"/>
          <c:y val="0.12614849560554992"/>
          <c:w val="0.95516019775649308"/>
          <c:h val="0.5824471988502428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'Controle de pendências'!$K$104</c:f>
              <c:strCache>
                <c:ptCount val="1"/>
                <c:pt idx="0">
                  <c:v>Soma de Realizado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'Controle de pendências'!$J$105:$J$123</c:f>
              <c:strCache>
                <c:ptCount val="18"/>
                <c:pt idx="0">
                  <c:v>Aguinaldo </c:v>
                </c:pt>
                <c:pt idx="1">
                  <c:v>Allan</c:v>
                </c:pt>
                <c:pt idx="2">
                  <c:v>Bruna </c:v>
                </c:pt>
                <c:pt idx="3">
                  <c:v>Cláudio</c:v>
                </c:pt>
                <c:pt idx="4">
                  <c:v>Compras </c:v>
                </c:pt>
                <c:pt idx="5">
                  <c:v>Felipe Michel</c:v>
                </c:pt>
                <c:pt idx="6">
                  <c:v>Jarbas</c:v>
                </c:pt>
                <c:pt idx="7">
                  <c:v>Joaquim Ailton</c:v>
                </c:pt>
                <c:pt idx="8">
                  <c:v>Jonatan</c:v>
                </c:pt>
                <c:pt idx="9">
                  <c:v>José Junior</c:v>
                </c:pt>
                <c:pt idx="10">
                  <c:v>Luana</c:v>
                </c:pt>
                <c:pt idx="11">
                  <c:v>Matheus </c:v>
                </c:pt>
                <c:pt idx="12">
                  <c:v>Murilo</c:v>
                </c:pt>
                <c:pt idx="13">
                  <c:v>Projetos </c:v>
                </c:pt>
                <c:pt idx="14">
                  <c:v>Recrutamento </c:v>
                </c:pt>
                <c:pt idx="15">
                  <c:v>Renato Lima</c:v>
                </c:pt>
                <c:pt idx="16">
                  <c:v>Segurança </c:v>
                </c:pt>
                <c:pt idx="17">
                  <c:v>Suprimentos</c:v>
                </c:pt>
              </c:strCache>
            </c:strRef>
          </c:cat>
          <c:val>
            <c:numRef>
              <c:f>'Controle de pendências'!$K$105:$K$123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00-43FE-A213-27F858D756D0}"/>
            </c:ext>
          </c:extLst>
        </c:ser>
        <c:ser>
          <c:idx val="1"/>
          <c:order val="1"/>
          <c:tx>
            <c:strRef>
              <c:f>'Controle de pendências'!$L$104</c:f>
              <c:strCache>
                <c:ptCount val="1"/>
                <c:pt idx="0">
                  <c:v>Soma de Pendente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'Controle de pendências'!$J$105:$J$123</c:f>
              <c:strCache>
                <c:ptCount val="18"/>
                <c:pt idx="0">
                  <c:v>Aguinaldo </c:v>
                </c:pt>
                <c:pt idx="1">
                  <c:v>Allan</c:v>
                </c:pt>
                <c:pt idx="2">
                  <c:v>Bruna </c:v>
                </c:pt>
                <c:pt idx="3">
                  <c:v>Cláudio</c:v>
                </c:pt>
                <c:pt idx="4">
                  <c:v>Compras </c:v>
                </c:pt>
                <c:pt idx="5">
                  <c:v>Felipe Michel</c:v>
                </c:pt>
                <c:pt idx="6">
                  <c:v>Jarbas</c:v>
                </c:pt>
                <c:pt idx="7">
                  <c:v>Joaquim Ailton</c:v>
                </c:pt>
                <c:pt idx="8">
                  <c:v>Jonatan</c:v>
                </c:pt>
                <c:pt idx="9">
                  <c:v>José Junior</c:v>
                </c:pt>
                <c:pt idx="10">
                  <c:v>Luana</c:v>
                </c:pt>
                <c:pt idx="11">
                  <c:v>Matheus </c:v>
                </c:pt>
                <c:pt idx="12">
                  <c:v>Murilo</c:v>
                </c:pt>
                <c:pt idx="13">
                  <c:v>Projetos </c:v>
                </c:pt>
                <c:pt idx="14">
                  <c:v>Recrutamento </c:v>
                </c:pt>
                <c:pt idx="15">
                  <c:v>Renato Lima</c:v>
                </c:pt>
                <c:pt idx="16">
                  <c:v>Segurança </c:v>
                </c:pt>
                <c:pt idx="17">
                  <c:v>Suprimentos</c:v>
                </c:pt>
              </c:strCache>
            </c:strRef>
          </c:cat>
          <c:val>
            <c:numRef>
              <c:f>'Controle de pendências'!$L$105:$L$123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00-43FE-A213-27F858D75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4588591"/>
        <c:axId val="624589007"/>
      </c:barChart>
      <c:catAx>
        <c:axId val="62458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4589007"/>
        <c:crosses val="autoZero"/>
        <c:auto val="1"/>
        <c:lblAlgn val="ctr"/>
        <c:lblOffset val="100"/>
        <c:noMultiLvlLbl val="0"/>
      </c:catAx>
      <c:valAx>
        <c:axId val="624589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4588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546605403443737"/>
          <c:y val="1.7863907673132728E-2"/>
          <c:w val="0.32726432844475412"/>
          <c:h val="7.6212389498400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11206</xdr:colOff>
      <xdr:row>2</xdr:row>
      <xdr:rowOff>11206</xdr:rowOff>
    </xdr:from>
    <xdr:to>
      <xdr:col>13</xdr:col>
      <xdr:colOff>0</xdr:colOff>
      <xdr:row>7</xdr:row>
      <xdr:rowOff>179294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11586882" y="190500"/>
          <a:ext cx="2389094" cy="930088"/>
        </a:xfrm>
        <a:prstGeom prst="rect">
          <a:avLst/>
        </a:prstGeom>
        <a:ln>
          <a:solidFill>
            <a:srgbClr val="FF9900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11</xdr:col>
      <xdr:colOff>496035</xdr:colOff>
      <xdr:row>2</xdr:row>
      <xdr:rowOff>149986</xdr:rowOff>
    </xdr:from>
    <xdr:to>
      <xdr:col>12</xdr:col>
      <xdr:colOff>1195865</xdr:colOff>
      <xdr:row>6</xdr:row>
      <xdr:rowOff>161192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7" r="28117"/>
        <a:stretch/>
      </xdr:blipFill>
      <xdr:spPr>
        <a:xfrm>
          <a:off x="13259535" y="325832"/>
          <a:ext cx="1960060" cy="831822"/>
        </a:xfrm>
        <a:prstGeom prst="rect">
          <a:avLst/>
        </a:prstGeom>
      </xdr:spPr>
    </xdr:pic>
    <xdr:clientData/>
  </xdr:twoCellAnchor>
  <xdr:twoCellAnchor>
    <xdr:from>
      <xdr:col>0</xdr:col>
      <xdr:colOff>106089</xdr:colOff>
      <xdr:row>102</xdr:row>
      <xdr:rowOff>63325</xdr:rowOff>
    </xdr:from>
    <xdr:to>
      <xdr:col>7</xdr:col>
      <xdr:colOff>778178</xdr:colOff>
      <xdr:row>123</xdr:row>
      <xdr:rowOff>1840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EUS" refreshedDate="45565.655045370368" createdVersion="8" refreshedVersion="8" minRefreshableVersion="3" recordCount="18" xr:uid="{07E0A12D-6975-4ADC-8D8D-FAE7145B07AB}">
  <cacheSource type="worksheet">
    <worksheetSource ref="C104:G122" sheet="Controle de pendências"/>
  </cacheSource>
  <cacheFields count="4">
    <cacheField name="Resp." numFmtId="0">
      <sharedItems count="36">
        <s v="Recrutamento "/>
        <s v="Compras "/>
        <s v="Suprimentos"/>
        <s v="Jarbas"/>
        <s v="Segurança "/>
        <s v="Bruna "/>
        <s v="Felipe Michel"/>
        <s v="José Junior"/>
        <s v="Matheus "/>
        <s v="Joaquim Ailton"/>
        <s v="Projetos "/>
        <s v="Renato Lima"/>
        <s v="Murilo"/>
        <s v="Allan"/>
        <s v="Jonatan"/>
        <s v="Luana"/>
        <s v="Cláudio"/>
        <s v="Aguinaldo "/>
        <s v="Washington" u="1"/>
        <s v="Suprimentos/Almoxarifado " u="1"/>
        <s v="Giuliano" u="1"/>
        <s v="Mariana " u="1"/>
        <s v="Davidson" u="1"/>
        <s v="Ana Paula" u="1"/>
        <s v="Dayane " u="1"/>
        <s v="Andreza " u="1"/>
        <s v="Jéssica TST" u="1"/>
        <s v="DESA Engenharia" u="1"/>
        <s v="Joaquim Ailton Supervisor" u="1"/>
        <s v="João Victor " u="1"/>
        <s v="Tacianne" u="1"/>
        <s v="Luciano Supervisor" u="1"/>
        <s v="Edmilson" u="1"/>
        <s v="Luciano" u="1"/>
        <s v="Janiny" u="1"/>
        <s v="Anderson Marques" u="1"/>
      </sharedItems>
    </cacheField>
    <cacheField name="Demanda" numFmtId="0">
      <sharedItems containsSemiMixedTypes="0" containsString="0" containsNumber="1" containsInteger="1" minValue="0" maxValue="1"/>
    </cacheField>
    <cacheField name="Realizado" numFmtId="0">
      <sharedItems containsSemiMixedTypes="0" containsString="0" containsNumber="1" containsInteger="1" minValue="0" maxValue="1"/>
    </cacheField>
    <cacheField name="Pendente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n v="0"/>
    <n v="0"/>
    <n v="0"/>
  </r>
  <r>
    <x v="1"/>
    <n v="0"/>
    <n v="0"/>
    <n v="0"/>
  </r>
  <r>
    <x v="2"/>
    <n v="0"/>
    <n v="0"/>
    <n v="0"/>
  </r>
  <r>
    <x v="3"/>
    <n v="0"/>
    <n v="0"/>
    <n v="0"/>
  </r>
  <r>
    <x v="4"/>
    <n v="0"/>
    <n v="0"/>
    <n v="0"/>
  </r>
  <r>
    <x v="5"/>
    <n v="0"/>
    <n v="0"/>
    <n v="0"/>
  </r>
  <r>
    <x v="6"/>
    <n v="0"/>
    <n v="0"/>
    <n v="0"/>
  </r>
  <r>
    <x v="7"/>
    <n v="0"/>
    <n v="0"/>
    <n v="0"/>
  </r>
  <r>
    <x v="8"/>
    <n v="1"/>
    <n v="1"/>
    <n v="0"/>
  </r>
  <r>
    <x v="9"/>
    <n v="0"/>
    <n v="0"/>
    <n v="0"/>
  </r>
  <r>
    <x v="10"/>
    <n v="0"/>
    <n v="0"/>
    <n v="0"/>
  </r>
  <r>
    <x v="11"/>
    <n v="0"/>
    <n v="0"/>
    <n v="0"/>
  </r>
  <r>
    <x v="12"/>
    <n v="0"/>
    <n v="0"/>
    <n v="0"/>
  </r>
  <r>
    <x v="13"/>
    <n v="0"/>
    <n v="0"/>
    <n v="0"/>
  </r>
  <r>
    <x v="14"/>
    <n v="0"/>
    <n v="0"/>
    <n v="0"/>
  </r>
  <r>
    <x v="15"/>
    <n v="0"/>
    <n v="0"/>
    <n v="0"/>
  </r>
  <r>
    <x v="16"/>
    <n v="0"/>
    <n v="0"/>
    <n v="0"/>
  </r>
  <r>
    <x v="17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440B6A-E4F2-4D49-B97F-46F8FD4853C8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2">
  <location ref="J104:L123" firstHeaderRow="0" firstDataRow="1" firstDataCol="1"/>
  <pivotFields count="4">
    <pivotField axis="axisRow" showAll="0" sortType="ascending">
      <items count="37">
        <item x="17"/>
        <item x="13"/>
        <item m="1" x="23"/>
        <item m="1" x="35"/>
        <item m="1" x="25"/>
        <item x="5"/>
        <item x="16"/>
        <item x="1"/>
        <item m="1" x="22"/>
        <item m="1" x="24"/>
        <item m="1" x="27"/>
        <item m="1" x="32"/>
        <item x="6"/>
        <item m="1" x="20"/>
        <item m="1" x="34"/>
        <item x="3"/>
        <item m="1" x="26"/>
        <item m="1" x="29"/>
        <item x="9"/>
        <item m="1" x="28"/>
        <item x="14"/>
        <item x="7"/>
        <item x="15"/>
        <item m="1" x="33"/>
        <item m="1" x="31"/>
        <item m="1" x="21"/>
        <item x="8"/>
        <item x="12"/>
        <item x="10"/>
        <item x="0"/>
        <item x="11"/>
        <item x="4"/>
        <item x="2"/>
        <item m="1" x="19"/>
        <item m="1" x="30"/>
        <item m="1" x="18"/>
        <item t="default"/>
      </items>
    </pivotField>
    <pivotField showAll="0"/>
    <pivotField dataField="1" showAll="0"/>
    <pivotField dataField="1" showAll="0"/>
  </pivotFields>
  <rowFields count="1">
    <field x="0"/>
  </rowFields>
  <rowItems count="19">
    <i>
      <x/>
    </i>
    <i>
      <x v="1"/>
    </i>
    <i>
      <x v="5"/>
    </i>
    <i>
      <x v="6"/>
    </i>
    <i>
      <x v="7"/>
    </i>
    <i>
      <x v="12"/>
    </i>
    <i>
      <x v="15"/>
    </i>
    <i>
      <x v="18"/>
    </i>
    <i>
      <x v="20"/>
    </i>
    <i>
      <x v="21"/>
    </i>
    <i>
      <x v="22"/>
    </i>
    <i>
      <x v="26"/>
    </i>
    <i>
      <x v="27"/>
    </i>
    <i>
      <x v="28"/>
    </i>
    <i>
      <x v="29"/>
    </i>
    <i>
      <x v="30"/>
    </i>
    <i>
      <x v="31"/>
    </i>
    <i>
      <x v="3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Realizado" fld="2" baseField="0" baseItem="0"/>
    <dataField name="Soma de Pendente" fld="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v42-Gantt">
      <a:dk1>
        <a:sysClr val="windowText" lastClr="000000"/>
      </a:dk1>
      <a:lt1>
        <a:sysClr val="window" lastClr="FFFFFF"/>
      </a:lt1>
      <a:dk2>
        <a:srgbClr val="3B8741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10AF4-FA14-4BFB-9E5F-316899E77416}">
  <sheetPr codeName="Planilha9">
    <tabColor theme="0"/>
    <pageSetUpPr fitToPage="1"/>
  </sheetPr>
  <dimension ref="B1:M131"/>
  <sheetViews>
    <sheetView showGridLines="0" tabSelected="1" zoomScale="65" zoomScaleNormal="65" workbookViewId="0">
      <selection activeCell="L10" sqref="L10:M10"/>
    </sheetView>
  </sheetViews>
  <sheetFormatPr defaultColWidth="9.140625" defaultRowHeight="14.25" x14ac:dyDescent="0.2"/>
  <cols>
    <col min="1" max="1" width="2.28515625" style="2" customWidth="1"/>
    <col min="2" max="2" width="13" style="1" customWidth="1"/>
    <col min="3" max="3" width="26.85546875" style="2" customWidth="1"/>
    <col min="4" max="4" width="44.140625" style="2" customWidth="1"/>
    <col min="5" max="5" width="23.28515625" style="1" customWidth="1"/>
    <col min="6" max="6" width="15.5703125" style="1" customWidth="1"/>
    <col min="7" max="7" width="18" style="1" customWidth="1"/>
    <col min="8" max="8" width="21.140625" style="1" customWidth="1"/>
    <col min="9" max="9" width="8.42578125" style="9" customWidth="1"/>
    <col min="10" max="10" width="20.5703125" style="7" bestFit="1" customWidth="1"/>
    <col min="11" max="11" width="19.42578125" style="2" bestFit="1" customWidth="1"/>
    <col min="12" max="12" width="19" style="2" bestFit="1" customWidth="1"/>
    <col min="13" max="13" width="21.28515625" style="2" customWidth="1"/>
    <col min="14" max="16384" width="9.140625" style="2"/>
  </cols>
  <sheetData>
    <row r="1" spans="2:13" ht="15" thickBot="1" x14ac:dyDescent="0.25"/>
    <row r="2" spans="2:13" ht="51" customHeight="1" x14ac:dyDescent="0.2">
      <c r="B2" s="56" t="s">
        <v>55</v>
      </c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</row>
    <row r="3" spans="2:13" ht="17.100000000000001" customHeight="1" x14ac:dyDescent="0.25">
      <c r="B3" s="60" t="s">
        <v>45</v>
      </c>
      <c r="C3" s="60"/>
      <c r="D3" s="46"/>
      <c r="E3" s="62" t="s">
        <v>51</v>
      </c>
      <c r="F3" s="63"/>
      <c r="G3" s="64"/>
      <c r="H3" s="65"/>
      <c r="I3" s="41" t="s">
        <v>1</v>
      </c>
      <c r="J3" s="42" t="s">
        <v>2</v>
      </c>
      <c r="K3" s="43" t="s">
        <v>3</v>
      </c>
      <c r="L3" s="12"/>
      <c r="M3" s="13"/>
    </row>
    <row r="4" spans="2:13" ht="17.100000000000001" customHeight="1" x14ac:dyDescent="0.25">
      <c r="B4" s="60" t="s">
        <v>46</v>
      </c>
      <c r="C4" s="60"/>
      <c r="D4" s="46"/>
      <c r="E4" s="62" t="s">
        <v>52</v>
      </c>
      <c r="F4" s="63"/>
      <c r="G4" s="64"/>
      <c r="H4" s="65"/>
      <c r="I4" s="47"/>
      <c r="J4" s="48"/>
      <c r="K4" s="68">
        <f>M10</f>
        <v>1</v>
      </c>
      <c r="L4" s="14"/>
      <c r="M4" s="15"/>
    </row>
    <row r="5" spans="2:13" ht="17.100000000000001" customHeight="1" x14ac:dyDescent="0.25">
      <c r="B5" s="60" t="s">
        <v>47</v>
      </c>
      <c r="C5" s="60"/>
      <c r="D5" s="46"/>
      <c r="E5" s="62" t="s">
        <v>33</v>
      </c>
      <c r="F5" s="63"/>
      <c r="G5" s="64"/>
      <c r="H5" s="65"/>
      <c r="I5" s="49"/>
      <c r="J5" s="48"/>
      <c r="K5" s="69"/>
      <c r="L5" s="14"/>
      <c r="M5" s="15"/>
    </row>
    <row r="6" spans="2:13" ht="17.100000000000001" customHeight="1" x14ac:dyDescent="0.25">
      <c r="B6" s="60" t="s">
        <v>48</v>
      </c>
      <c r="C6" s="60"/>
      <c r="D6" s="46"/>
      <c r="E6" s="62" t="s">
        <v>34</v>
      </c>
      <c r="F6" s="63"/>
      <c r="G6" s="64"/>
      <c r="H6" s="65"/>
      <c r="I6" s="47"/>
      <c r="J6" s="48"/>
      <c r="K6" s="69"/>
      <c r="L6" s="14"/>
      <c r="M6" s="15"/>
    </row>
    <row r="7" spans="2:13" ht="17.100000000000001" customHeight="1" x14ac:dyDescent="0.25">
      <c r="B7" s="60" t="s">
        <v>32</v>
      </c>
      <c r="C7" s="60"/>
      <c r="D7" s="46"/>
      <c r="E7" s="62" t="s">
        <v>53</v>
      </c>
      <c r="F7" s="63"/>
      <c r="G7" s="64"/>
      <c r="H7" s="65"/>
      <c r="I7" s="47"/>
      <c r="J7" s="50"/>
      <c r="K7" s="69"/>
      <c r="L7" s="14"/>
      <c r="M7" s="15"/>
    </row>
    <row r="8" spans="2:13" ht="17.100000000000001" customHeight="1" x14ac:dyDescent="0.25">
      <c r="B8" s="60" t="s">
        <v>49</v>
      </c>
      <c r="C8" s="60"/>
      <c r="D8" s="46"/>
      <c r="E8" s="62" t="s">
        <v>54</v>
      </c>
      <c r="F8" s="63"/>
      <c r="G8" s="64"/>
      <c r="H8" s="65"/>
      <c r="I8" s="47"/>
      <c r="J8" s="50"/>
      <c r="K8" s="69"/>
      <c r="L8" s="16"/>
      <c r="M8" s="17"/>
    </row>
    <row r="9" spans="2:13" ht="17.100000000000001" customHeight="1" x14ac:dyDescent="0.25">
      <c r="B9" s="60" t="s">
        <v>50</v>
      </c>
      <c r="C9" s="60"/>
      <c r="D9" s="46"/>
      <c r="E9" s="62" t="s">
        <v>44</v>
      </c>
      <c r="F9" s="63"/>
      <c r="G9" s="64"/>
      <c r="H9" s="65"/>
      <c r="I9" s="47"/>
      <c r="J9" s="50"/>
      <c r="K9" s="3" t="str">
        <f>IF(M10=1,"CONCLUÍDO","EM ANDAMENTO")</f>
        <v>CONCLUÍDO</v>
      </c>
      <c r="L9" s="85">
        <f ca="1">TODAY()</f>
        <v>45572</v>
      </c>
      <c r="M9" s="86"/>
    </row>
    <row r="10" spans="2:13" ht="15" thickBot="1" x14ac:dyDescent="0.25">
      <c r="I10" s="9">
        <f>SUM(J10:L10)</f>
        <v>0</v>
      </c>
      <c r="J10" s="4">
        <f>COUNTIF(J16:J122, "Concluído")</f>
        <v>0</v>
      </c>
      <c r="K10" s="4">
        <f>COUNTIF(J16:J122, "Em andamento")</f>
        <v>0</v>
      </c>
      <c r="L10" s="4">
        <f>COUNTIF(J16:J122, "Atrasado")</f>
        <v>0</v>
      </c>
      <c r="M10" s="4">
        <f>IF(J128=1,1,2)</f>
        <v>1</v>
      </c>
    </row>
    <row r="11" spans="2:13" ht="15" customHeight="1" x14ac:dyDescent="0.2">
      <c r="B11" s="78" t="s">
        <v>4</v>
      </c>
      <c r="C11" s="79"/>
      <c r="D11" s="79"/>
      <c r="E11" s="79"/>
      <c r="F11" s="79"/>
      <c r="G11" s="79"/>
      <c r="H11" s="79"/>
      <c r="I11" s="79"/>
      <c r="J11" s="79"/>
      <c r="K11" s="76" t="s">
        <v>28</v>
      </c>
      <c r="L11" s="76"/>
      <c r="M11" s="77"/>
    </row>
    <row r="12" spans="2:13" ht="14.25" customHeight="1" x14ac:dyDescent="0.2">
      <c r="B12" s="80"/>
      <c r="C12" s="81"/>
      <c r="D12" s="81"/>
      <c r="E12" s="81"/>
      <c r="F12" s="81"/>
      <c r="G12" s="81"/>
      <c r="H12" s="81"/>
      <c r="I12" s="81"/>
      <c r="J12" s="81"/>
      <c r="K12" s="70">
        <f>J128</f>
        <v>1</v>
      </c>
      <c r="L12" s="71"/>
      <c r="M12" s="72"/>
    </row>
    <row r="13" spans="2:13" ht="14.25" customHeight="1" thickBot="1" x14ac:dyDescent="0.25">
      <c r="B13" s="82"/>
      <c r="C13" s="83"/>
      <c r="D13" s="83"/>
      <c r="E13" s="83"/>
      <c r="F13" s="83"/>
      <c r="G13" s="83"/>
      <c r="H13" s="83"/>
      <c r="I13" s="83"/>
      <c r="J13" s="83"/>
      <c r="K13" s="73"/>
      <c r="L13" s="74"/>
      <c r="M13" s="75"/>
    </row>
    <row r="14" spans="2:13" ht="1.5" customHeight="1" x14ac:dyDescent="0.2">
      <c r="B14" s="32"/>
      <c r="C14" s="32"/>
      <c r="D14" s="32"/>
      <c r="E14" s="32"/>
      <c r="F14" s="32"/>
      <c r="G14" s="32"/>
      <c r="H14" s="32"/>
      <c r="I14" s="33"/>
      <c r="J14" s="32"/>
      <c r="K14" s="34">
        <f ca="1">TODAY()</f>
        <v>45572</v>
      </c>
      <c r="L14" s="35"/>
      <c r="M14" s="35"/>
    </row>
    <row r="15" spans="2:13" s="5" customFormat="1" ht="18" customHeight="1" x14ac:dyDescent="0.2">
      <c r="B15" s="44" t="s">
        <v>5</v>
      </c>
      <c r="C15" s="61" t="s">
        <v>6</v>
      </c>
      <c r="D15" s="61"/>
      <c r="E15" s="44" t="s">
        <v>7</v>
      </c>
      <c r="F15" s="44" t="s">
        <v>8</v>
      </c>
      <c r="G15" s="44" t="s">
        <v>9</v>
      </c>
      <c r="H15" s="44" t="s">
        <v>10</v>
      </c>
      <c r="I15" s="45" t="s">
        <v>11</v>
      </c>
      <c r="J15" s="44" t="s">
        <v>12</v>
      </c>
      <c r="K15" s="87" t="s">
        <v>0</v>
      </c>
      <c r="L15" s="87"/>
      <c r="M15" s="87"/>
    </row>
    <row r="16" spans="2:13" s="6" customFormat="1" ht="26.25" customHeight="1" x14ac:dyDescent="0.2">
      <c r="B16" s="20">
        <v>1</v>
      </c>
      <c r="C16" s="58"/>
      <c r="D16" s="59"/>
      <c r="E16" s="51"/>
      <c r="F16" s="52"/>
      <c r="G16" s="52"/>
      <c r="H16" s="52"/>
      <c r="I16" s="23">
        <f t="shared" ref="I16:I41" si="0">IF(J16="Concluído",2,IF(J16="Em andamento",1,0))</f>
        <v>0</v>
      </c>
      <c r="J16" s="24" t="str">
        <f>IF(G16=0,"Vazio",IF(H16&gt;0,"Concluído",IF(G16&gt;=$K$14,"Em andamento",IF(G16&lt;$K$14,"Atrasado",0))))</f>
        <v>Vazio</v>
      </c>
      <c r="K16" s="66"/>
      <c r="L16" s="66"/>
      <c r="M16" s="66"/>
    </row>
    <row r="17" spans="2:13" s="6" customFormat="1" ht="26.25" customHeight="1" x14ac:dyDescent="0.2">
      <c r="B17" s="20">
        <f>B16+1</f>
        <v>2</v>
      </c>
      <c r="C17" s="58"/>
      <c r="D17" s="59"/>
      <c r="E17" s="51"/>
      <c r="F17" s="52"/>
      <c r="G17" s="53"/>
      <c r="H17" s="53"/>
      <c r="I17" s="23">
        <f>IF(J17="Concluído",2,IF(J17="Em andamento",1,0))</f>
        <v>0</v>
      </c>
      <c r="J17" s="24" t="str">
        <f t="shared" ref="J17:J82" si="1">IF(G17=0,"Vazio",IF(H17&gt;0,"Concluído",IF(G17&gt;=$K$14,"Em andamento",IF(G17&lt;$K$14,"Atrasado",0))))</f>
        <v>Vazio</v>
      </c>
      <c r="K17" s="66"/>
      <c r="L17" s="66"/>
      <c r="M17" s="66"/>
    </row>
    <row r="18" spans="2:13" s="6" customFormat="1" ht="26.25" customHeight="1" x14ac:dyDescent="0.2">
      <c r="B18" s="20">
        <f t="shared" ref="B18:B82" si="2">B17+1</f>
        <v>3</v>
      </c>
      <c r="C18" s="58"/>
      <c r="D18" s="59"/>
      <c r="E18" s="51"/>
      <c r="F18" s="52"/>
      <c r="G18" s="53"/>
      <c r="H18" s="52"/>
      <c r="I18" s="23">
        <f>IF(J18="Concluído",2,IF(J18="Em andamento",1,0))</f>
        <v>0</v>
      </c>
      <c r="J18" s="24" t="str">
        <f>IF(G18=0,"Vazio",IF(H18&gt;0,"Concluído",IF(G18&gt;=$K$14,"Em andamento",IF(G18&lt;$K$14,"Atrasado",0))))</f>
        <v>Vazio</v>
      </c>
      <c r="K18" s="66"/>
      <c r="L18" s="66"/>
      <c r="M18" s="66"/>
    </row>
    <row r="19" spans="2:13" s="6" customFormat="1" ht="26.25" customHeight="1" x14ac:dyDescent="0.2">
      <c r="B19" s="20">
        <f t="shared" si="2"/>
        <v>4</v>
      </c>
      <c r="C19" s="58"/>
      <c r="D19" s="59"/>
      <c r="E19" s="51"/>
      <c r="F19" s="52"/>
      <c r="G19" s="53"/>
      <c r="H19" s="52"/>
      <c r="I19" s="23">
        <f>IF(J19="Concluído",2,IF(J19="Em andamento",1,0))</f>
        <v>0</v>
      </c>
      <c r="J19" s="24" t="str">
        <f>IF(G19=0,"Vazio",IF(H19&gt;0,"Concluído",IF(G19&gt;=$K$14,"Em andamento",IF(G19&lt;$K$14,"Atrasado",0))))</f>
        <v>Vazio</v>
      </c>
      <c r="K19" s="66"/>
      <c r="L19" s="66"/>
      <c r="M19" s="66"/>
    </row>
    <row r="20" spans="2:13" s="6" customFormat="1" ht="26.25" customHeight="1" x14ac:dyDescent="0.2">
      <c r="B20" s="20">
        <f t="shared" si="2"/>
        <v>5</v>
      </c>
      <c r="C20" s="58"/>
      <c r="D20" s="59"/>
      <c r="E20" s="51"/>
      <c r="F20" s="52"/>
      <c r="G20" s="52"/>
      <c r="H20" s="52"/>
      <c r="I20" s="23">
        <f t="shared" si="0"/>
        <v>0</v>
      </c>
      <c r="J20" s="24" t="str">
        <f t="shared" si="1"/>
        <v>Vazio</v>
      </c>
      <c r="K20" s="66"/>
      <c r="L20" s="66"/>
      <c r="M20" s="66"/>
    </row>
    <row r="21" spans="2:13" s="6" customFormat="1" ht="26.25" customHeight="1" x14ac:dyDescent="0.2">
      <c r="B21" s="20">
        <f t="shared" si="2"/>
        <v>6</v>
      </c>
      <c r="C21" s="58"/>
      <c r="D21" s="59"/>
      <c r="E21" s="51"/>
      <c r="F21" s="52"/>
      <c r="G21" s="52"/>
      <c r="H21" s="53"/>
      <c r="I21" s="23">
        <f t="shared" si="0"/>
        <v>0</v>
      </c>
      <c r="J21" s="24" t="str">
        <f t="shared" si="1"/>
        <v>Vazio</v>
      </c>
      <c r="K21" s="66"/>
      <c r="L21" s="66"/>
      <c r="M21" s="66"/>
    </row>
    <row r="22" spans="2:13" s="6" customFormat="1" ht="26.25" customHeight="1" x14ac:dyDescent="0.2">
      <c r="B22" s="20">
        <f t="shared" si="2"/>
        <v>7</v>
      </c>
      <c r="C22" s="58"/>
      <c r="D22" s="59"/>
      <c r="E22" s="51"/>
      <c r="F22" s="52"/>
      <c r="G22" s="52"/>
      <c r="H22" s="53"/>
      <c r="I22" s="23">
        <f t="shared" si="0"/>
        <v>0</v>
      </c>
      <c r="J22" s="24" t="str">
        <f t="shared" si="1"/>
        <v>Vazio</v>
      </c>
      <c r="K22" s="66"/>
      <c r="L22" s="66"/>
      <c r="M22" s="66"/>
    </row>
    <row r="23" spans="2:13" s="6" customFormat="1" ht="26.25" customHeight="1" x14ac:dyDescent="0.2">
      <c r="B23" s="20">
        <f t="shared" si="2"/>
        <v>8</v>
      </c>
      <c r="C23" s="58"/>
      <c r="D23" s="59"/>
      <c r="E23" s="51"/>
      <c r="F23" s="52"/>
      <c r="G23" s="52"/>
      <c r="H23" s="53"/>
      <c r="I23" s="23">
        <f t="shared" si="0"/>
        <v>0</v>
      </c>
      <c r="J23" s="24" t="str">
        <f t="shared" si="1"/>
        <v>Vazio</v>
      </c>
      <c r="K23" s="66"/>
      <c r="L23" s="66"/>
      <c r="M23" s="66"/>
    </row>
    <row r="24" spans="2:13" s="6" customFormat="1" ht="26.25" customHeight="1" x14ac:dyDescent="0.2">
      <c r="B24" s="20">
        <f t="shared" si="2"/>
        <v>9</v>
      </c>
      <c r="C24" s="58"/>
      <c r="D24" s="59"/>
      <c r="E24" s="51"/>
      <c r="F24" s="52"/>
      <c r="G24" s="52"/>
      <c r="H24" s="53"/>
      <c r="I24" s="23">
        <f t="shared" si="0"/>
        <v>0</v>
      </c>
      <c r="J24" s="24" t="str">
        <f t="shared" si="1"/>
        <v>Vazio</v>
      </c>
      <c r="K24" s="66"/>
      <c r="L24" s="66"/>
      <c r="M24" s="66"/>
    </row>
    <row r="25" spans="2:13" s="6" customFormat="1" ht="26.25" customHeight="1" x14ac:dyDescent="0.2">
      <c r="B25" s="20">
        <f t="shared" si="2"/>
        <v>10</v>
      </c>
      <c r="C25" s="58"/>
      <c r="D25" s="59"/>
      <c r="E25" s="51"/>
      <c r="F25" s="52"/>
      <c r="G25" s="52"/>
      <c r="H25" s="53"/>
      <c r="I25" s="23">
        <f t="shared" si="0"/>
        <v>0</v>
      </c>
      <c r="J25" s="24" t="str">
        <f t="shared" si="1"/>
        <v>Vazio</v>
      </c>
      <c r="K25" s="66"/>
      <c r="L25" s="66"/>
      <c r="M25" s="66"/>
    </row>
    <row r="26" spans="2:13" s="6" customFormat="1" ht="26.25" customHeight="1" x14ac:dyDescent="0.2">
      <c r="B26" s="20">
        <f t="shared" si="2"/>
        <v>11</v>
      </c>
      <c r="C26" s="58"/>
      <c r="D26" s="59"/>
      <c r="E26" s="51"/>
      <c r="F26" s="52"/>
      <c r="G26" s="52"/>
      <c r="H26" s="53"/>
      <c r="I26" s="23">
        <f t="shared" si="0"/>
        <v>0</v>
      </c>
      <c r="J26" s="24" t="str">
        <f t="shared" si="1"/>
        <v>Vazio</v>
      </c>
      <c r="K26" s="66"/>
      <c r="L26" s="66"/>
      <c r="M26" s="66"/>
    </row>
    <row r="27" spans="2:13" s="6" customFormat="1" ht="26.25" customHeight="1" x14ac:dyDescent="0.2">
      <c r="B27" s="20">
        <f t="shared" si="2"/>
        <v>12</v>
      </c>
      <c r="C27" s="58"/>
      <c r="D27" s="59"/>
      <c r="E27" s="51"/>
      <c r="F27" s="52"/>
      <c r="G27" s="52"/>
      <c r="H27" s="53"/>
      <c r="I27" s="23">
        <f t="shared" si="0"/>
        <v>0</v>
      </c>
      <c r="J27" s="24" t="str">
        <f t="shared" si="1"/>
        <v>Vazio</v>
      </c>
      <c r="K27" s="66"/>
      <c r="L27" s="66"/>
      <c r="M27" s="66"/>
    </row>
    <row r="28" spans="2:13" s="6" customFormat="1" ht="26.25" customHeight="1" x14ac:dyDescent="0.2">
      <c r="B28" s="20">
        <f t="shared" si="2"/>
        <v>13</v>
      </c>
      <c r="C28" s="58"/>
      <c r="D28" s="59"/>
      <c r="E28" s="51"/>
      <c r="F28" s="52"/>
      <c r="G28" s="52"/>
      <c r="H28" s="53"/>
      <c r="I28" s="23">
        <f t="shared" si="0"/>
        <v>0</v>
      </c>
      <c r="J28" s="24" t="str">
        <f t="shared" si="1"/>
        <v>Vazio</v>
      </c>
      <c r="K28" s="66"/>
      <c r="L28" s="66"/>
      <c r="M28" s="66"/>
    </row>
    <row r="29" spans="2:13" s="6" customFormat="1" ht="26.25" customHeight="1" x14ac:dyDescent="0.2">
      <c r="B29" s="20">
        <f t="shared" si="2"/>
        <v>14</v>
      </c>
      <c r="C29" s="58"/>
      <c r="D29" s="59"/>
      <c r="E29" s="51"/>
      <c r="F29" s="52"/>
      <c r="G29" s="52"/>
      <c r="H29" s="53"/>
      <c r="I29" s="23">
        <f t="shared" si="0"/>
        <v>0</v>
      </c>
      <c r="J29" s="24" t="str">
        <f t="shared" si="1"/>
        <v>Vazio</v>
      </c>
      <c r="K29" s="66"/>
      <c r="L29" s="66"/>
      <c r="M29" s="66"/>
    </row>
    <row r="30" spans="2:13" s="6" customFormat="1" ht="26.25" customHeight="1" x14ac:dyDescent="0.2">
      <c r="B30" s="20">
        <f t="shared" si="2"/>
        <v>15</v>
      </c>
      <c r="C30" s="58"/>
      <c r="D30" s="59"/>
      <c r="E30" s="51"/>
      <c r="F30" s="52"/>
      <c r="G30" s="52"/>
      <c r="H30" s="53"/>
      <c r="I30" s="23">
        <f t="shared" si="0"/>
        <v>0</v>
      </c>
      <c r="J30" s="24" t="str">
        <f t="shared" si="1"/>
        <v>Vazio</v>
      </c>
      <c r="K30" s="66"/>
      <c r="L30" s="66"/>
      <c r="M30" s="66"/>
    </row>
    <row r="31" spans="2:13" s="6" customFormat="1" ht="26.25" customHeight="1" x14ac:dyDescent="0.2">
      <c r="B31" s="20">
        <f t="shared" si="2"/>
        <v>16</v>
      </c>
      <c r="C31" s="58"/>
      <c r="D31" s="59"/>
      <c r="E31" s="51"/>
      <c r="F31" s="52"/>
      <c r="G31" s="52"/>
      <c r="H31" s="52"/>
      <c r="I31" s="23">
        <f t="shared" si="0"/>
        <v>0</v>
      </c>
      <c r="J31" s="24" t="str">
        <f t="shared" si="1"/>
        <v>Vazio</v>
      </c>
      <c r="K31" s="66"/>
      <c r="L31" s="66"/>
      <c r="M31" s="66"/>
    </row>
    <row r="32" spans="2:13" s="6" customFormat="1" ht="26.25" customHeight="1" x14ac:dyDescent="0.2">
      <c r="B32" s="20">
        <f t="shared" si="2"/>
        <v>17</v>
      </c>
      <c r="C32" s="58"/>
      <c r="D32" s="59"/>
      <c r="E32" s="51"/>
      <c r="F32" s="52"/>
      <c r="G32" s="52"/>
      <c r="H32" s="53"/>
      <c r="I32" s="23">
        <f t="shared" si="0"/>
        <v>0</v>
      </c>
      <c r="J32" s="24" t="str">
        <f t="shared" si="1"/>
        <v>Vazio</v>
      </c>
      <c r="K32" s="66"/>
      <c r="L32" s="66"/>
      <c r="M32" s="66"/>
    </row>
    <row r="33" spans="2:13" s="6" customFormat="1" ht="26.25" customHeight="1" x14ac:dyDescent="0.2">
      <c r="B33" s="20">
        <f t="shared" si="2"/>
        <v>18</v>
      </c>
      <c r="C33" s="58"/>
      <c r="D33" s="59"/>
      <c r="E33" s="51"/>
      <c r="F33" s="52"/>
      <c r="G33" s="52"/>
      <c r="H33" s="53"/>
      <c r="I33" s="23">
        <f t="shared" si="0"/>
        <v>0</v>
      </c>
      <c r="J33" s="24" t="str">
        <f t="shared" si="1"/>
        <v>Vazio</v>
      </c>
      <c r="K33" s="66"/>
      <c r="L33" s="66"/>
      <c r="M33" s="66"/>
    </row>
    <row r="34" spans="2:13" s="6" customFormat="1" ht="26.25" customHeight="1" x14ac:dyDescent="0.2">
      <c r="B34" s="20">
        <f t="shared" si="2"/>
        <v>19</v>
      </c>
      <c r="C34" s="58"/>
      <c r="D34" s="59"/>
      <c r="E34" s="51"/>
      <c r="F34" s="52"/>
      <c r="G34" s="53"/>
      <c r="H34" s="53"/>
      <c r="I34" s="23">
        <f>IF(J34="Concluído",2,IF(J34="Em andamento",1,0))</f>
        <v>0</v>
      </c>
      <c r="J34" s="24" t="str">
        <f t="shared" si="1"/>
        <v>Vazio</v>
      </c>
      <c r="K34" s="66"/>
      <c r="L34" s="66"/>
      <c r="M34" s="66"/>
    </row>
    <row r="35" spans="2:13" s="6" customFormat="1" ht="26.25" customHeight="1" x14ac:dyDescent="0.2">
      <c r="B35" s="20">
        <f t="shared" si="2"/>
        <v>20</v>
      </c>
      <c r="C35" s="58"/>
      <c r="D35" s="59"/>
      <c r="E35" s="51"/>
      <c r="F35" s="52"/>
      <c r="G35" s="53"/>
      <c r="H35" s="52"/>
      <c r="I35" s="23">
        <f>IF(J35="Concluído",2,IF(J35="Em andamento",1,0))</f>
        <v>0</v>
      </c>
      <c r="J35" s="24" t="str">
        <f t="shared" si="1"/>
        <v>Vazio</v>
      </c>
      <c r="K35" s="66"/>
      <c r="L35" s="66"/>
      <c r="M35" s="66"/>
    </row>
    <row r="36" spans="2:13" s="6" customFormat="1" ht="26.25" customHeight="1" x14ac:dyDescent="0.2">
      <c r="B36" s="20">
        <f t="shared" si="2"/>
        <v>21</v>
      </c>
      <c r="C36" s="58"/>
      <c r="D36" s="59"/>
      <c r="E36" s="51"/>
      <c r="F36" s="52"/>
      <c r="G36" s="53"/>
      <c r="H36" s="53"/>
      <c r="I36" s="23">
        <f>IF(J36="Concluído",2,IF(J36="Em andamento",1,0))</f>
        <v>0</v>
      </c>
      <c r="J36" s="24" t="str">
        <f t="shared" si="1"/>
        <v>Vazio</v>
      </c>
      <c r="K36" s="66"/>
      <c r="L36" s="66"/>
      <c r="M36" s="66"/>
    </row>
    <row r="37" spans="2:13" s="6" customFormat="1" ht="26.25" customHeight="1" x14ac:dyDescent="0.2">
      <c r="B37" s="20">
        <f t="shared" si="2"/>
        <v>22</v>
      </c>
      <c r="C37" s="58"/>
      <c r="D37" s="59"/>
      <c r="E37" s="51"/>
      <c r="F37" s="52"/>
      <c r="G37" s="53"/>
      <c r="H37" s="53"/>
      <c r="I37" s="23">
        <f t="shared" si="0"/>
        <v>0</v>
      </c>
      <c r="J37" s="24" t="str">
        <f t="shared" si="1"/>
        <v>Vazio</v>
      </c>
      <c r="K37" s="66"/>
      <c r="L37" s="66"/>
      <c r="M37" s="66"/>
    </row>
    <row r="38" spans="2:13" s="6" customFormat="1" ht="26.25" customHeight="1" x14ac:dyDescent="0.2">
      <c r="B38" s="20">
        <f t="shared" si="2"/>
        <v>23</v>
      </c>
      <c r="C38" s="58"/>
      <c r="D38" s="59"/>
      <c r="E38" s="51"/>
      <c r="F38" s="52"/>
      <c r="G38" s="53"/>
      <c r="H38" s="53"/>
      <c r="I38" s="23">
        <f t="shared" si="0"/>
        <v>0</v>
      </c>
      <c r="J38" s="24" t="str">
        <f t="shared" si="1"/>
        <v>Vazio</v>
      </c>
      <c r="K38" s="66"/>
      <c r="L38" s="66"/>
      <c r="M38" s="66"/>
    </row>
    <row r="39" spans="2:13" s="6" customFormat="1" ht="26.25" customHeight="1" x14ac:dyDescent="0.2">
      <c r="B39" s="20">
        <f t="shared" si="2"/>
        <v>24</v>
      </c>
      <c r="C39" s="58"/>
      <c r="D39" s="59"/>
      <c r="E39" s="51"/>
      <c r="F39" s="52"/>
      <c r="G39" s="53"/>
      <c r="H39" s="53"/>
      <c r="I39" s="23">
        <f t="shared" si="0"/>
        <v>0</v>
      </c>
      <c r="J39" s="24" t="str">
        <f t="shared" si="1"/>
        <v>Vazio</v>
      </c>
      <c r="K39" s="66"/>
      <c r="L39" s="66"/>
      <c r="M39" s="66"/>
    </row>
    <row r="40" spans="2:13" s="6" customFormat="1" ht="26.25" customHeight="1" x14ac:dyDescent="0.2">
      <c r="B40" s="20">
        <f t="shared" si="2"/>
        <v>25</v>
      </c>
      <c r="C40" s="58"/>
      <c r="D40" s="59"/>
      <c r="E40" s="51"/>
      <c r="F40" s="52"/>
      <c r="G40" s="53"/>
      <c r="H40" s="53"/>
      <c r="I40" s="23">
        <f t="shared" si="0"/>
        <v>0</v>
      </c>
      <c r="J40" s="24" t="str">
        <f t="shared" si="1"/>
        <v>Vazio</v>
      </c>
      <c r="K40" s="67"/>
      <c r="L40" s="67"/>
      <c r="M40" s="67"/>
    </row>
    <row r="41" spans="2:13" s="6" customFormat="1" ht="26.25" customHeight="1" x14ac:dyDescent="0.2">
      <c r="B41" s="20">
        <f t="shared" si="2"/>
        <v>26</v>
      </c>
      <c r="C41" s="58"/>
      <c r="D41" s="59"/>
      <c r="E41" s="51"/>
      <c r="F41" s="52"/>
      <c r="G41" s="53"/>
      <c r="H41" s="53"/>
      <c r="I41" s="23">
        <f t="shared" si="0"/>
        <v>0</v>
      </c>
      <c r="J41" s="24" t="str">
        <f t="shared" si="1"/>
        <v>Vazio</v>
      </c>
      <c r="K41" s="67"/>
      <c r="L41" s="67"/>
      <c r="M41" s="67"/>
    </row>
    <row r="42" spans="2:13" s="22" customFormat="1" ht="26.25" customHeight="1" x14ac:dyDescent="0.2">
      <c r="B42" s="20">
        <f t="shared" si="2"/>
        <v>27</v>
      </c>
      <c r="C42" s="58"/>
      <c r="D42" s="59"/>
      <c r="E42" s="51"/>
      <c r="F42" s="52"/>
      <c r="G42" s="53"/>
      <c r="H42" s="53"/>
      <c r="I42" s="23">
        <f>IF(J42="Concluído",2,IF(J42="Em andamento",1,0))</f>
        <v>0</v>
      </c>
      <c r="J42" s="24" t="str">
        <f t="shared" si="1"/>
        <v>Vazio</v>
      </c>
      <c r="K42" s="67"/>
      <c r="L42" s="67"/>
      <c r="M42" s="67"/>
    </row>
    <row r="43" spans="2:13" s="22" customFormat="1" ht="26.25" customHeight="1" x14ac:dyDescent="0.2">
      <c r="B43" s="20">
        <f t="shared" si="2"/>
        <v>28</v>
      </c>
      <c r="C43" s="58"/>
      <c r="D43" s="59"/>
      <c r="E43" s="51"/>
      <c r="F43" s="52"/>
      <c r="G43" s="53"/>
      <c r="H43" s="53"/>
      <c r="I43" s="23">
        <f t="shared" ref="I43:I44" si="3">IF(J43="Concluído",2,IF(J43="Em andamento",1,0))</f>
        <v>0</v>
      </c>
      <c r="J43" s="24" t="str">
        <f t="shared" si="1"/>
        <v>Vazio</v>
      </c>
      <c r="K43" s="67"/>
      <c r="L43" s="67"/>
      <c r="M43" s="67"/>
    </row>
    <row r="44" spans="2:13" s="22" customFormat="1" ht="26.25" customHeight="1" x14ac:dyDescent="0.2">
      <c r="B44" s="20">
        <f t="shared" si="2"/>
        <v>29</v>
      </c>
      <c r="C44" s="58"/>
      <c r="D44" s="59"/>
      <c r="E44" s="51"/>
      <c r="F44" s="52"/>
      <c r="G44" s="53"/>
      <c r="H44" s="53"/>
      <c r="I44" s="23">
        <f t="shared" si="3"/>
        <v>0</v>
      </c>
      <c r="J44" s="24" t="str">
        <f t="shared" si="1"/>
        <v>Vazio</v>
      </c>
      <c r="K44" s="88"/>
      <c r="L44" s="89"/>
      <c r="M44" s="90"/>
    </row>
    <row r="45" spans="2:13" s="6" customFormat="1" ht="26.25" customHeight="1" x14ac:dyDescent="0.2">
      <c r="B45" s="20">
        <f t="shared" si="2"/>
        <v>30</v>
      </c>
      <c r="C45" s="58"/>
      <c r="D45" s="59"/>
      <c r="E45" s="51"/>
      <c r="F45" s="52"/>
      <c r="G45" s="53"/>
      <c r="H45" s="53"/>
      <c r="I45" s="23">
        <f>IF(J45="Concluído",2,IF(J45="Em andamento",1,0))</f>
        <v>0</v>
      </c>
      <c r="J45" s="24" t="str">
        <f t="shared" si="1"/>
        <v>Vazio</v>
      </c>
      <c r="K45" s="67"/>
      <c r="L45" s="67"/>
      <c r="M45" s="67"/>
    </row>
    <row r="46" spans="2:13" s="6" customFormat="1" ht="26.25" customHeight="1" x14ac:dyDescent="0.2">
      <c r="B46" s="20">
        <f t="shared" si="2"/>
        <v>31</v>
      </c>
      <c r="C46" s="58"/>
      <c r="D46" s="59"/>
      <c r="E46" s="51"/>
      <c r="F46" s="52"/>
      <c r="G46" s="53"/>
      <c r="H46" s="53"/>
      <c r="I46" s="23">
        <f>IF(J46="Concluído",2,IF(J46="Em andamento",1,0))</f>
        <v>0</v>
      </c>
      <c r="J46" s="24" t="str">
        <f t="shared" si="1"/>
        <v>Vazio</v>
      </c>
      <c r="K46" s="67"/>
      <c r="L46" s="67"/>
      <c r="M46" s="67"/>
    </row>
    <row r="47" spans="2:13" s="6" customFormat="1" ht="26.25" customHeight="1" x14ac:dyDescent="0.2">
      <c r="B47" s="20">
        <f t="shared" si="2"/>
        <v>32</v>
      </c>
      <c r="C47" s="58"/>
      <c r="D47" s="59"/>
      <c r="E47" s="51"/>
      <c r="F47" s="52"/>
      <c r="G47" s="53"/>
      <c r="H47" s="53"/>
      <c r="I47" s="23">
        <f t="shared" ref="I47:I101" si="4">IF(J47="Concluído",2,IF(J47="Em andamento",1,0))</f>
        <v>0</v>
      </c>
      <c r="J47" s="24" t="str">
        <f t="shared" si="1"/>
        <v>Vazio</v>
      </c>
      <c r="K47" s="67"/>
      <c r="L47" s="67"/>
      <c r="M47" s="67"/>
    </row>
    <row r="48" spans="2:13" s="6" customFormat="1" ht="26.25" customHeight="1" x14ac:dyDescent="0.2">
      <c r="B48" s="20">
        <f t="shared" si="2"/>
        <v>33</v>
      </c>
      <c r="C48" s="58"/>
      <c r="D48" s="59"/>
      <c r="E48" s="51"/>
      <c r="F48" s="52"/>
      <c r="G48" s="53"/>
      <c r="H48" s="53"/>
      <c r="I48" s="23">
        <f t="shared" si="4"/>
        <v>0</v>
      </c>
      <c r="J48" s="24" t="str">
        <f t="shared" si="1"/>
        <v>Vazio</v>
      </c>
      <c r="K48" s="67"/>
      <c r="L48" s="67"/>
      <c r="M48" s="67"/>
    </row>
    <row r="49" spans="2:13" s="6" customFormat="1" ht="26.25" customHeight="1" x14ac:dyDescent="0.2">
      <c r="B49" s="20">
        <f t="shared" si="2"/>
        <v>34</v>
      </c>
      <c r="C49" s="58"/>
      <c r="D49" s="59"/>
      <c r="E49" s="51"/>
      <c r="F49" s="52"/>
      <c r="G49" s="53"/>
      <c r="H49" s="53"/>
      <c r="I49" s="23">
        <f t="shared" si="4"/>
        <v>0</v>
      </c>
      <c r="J49" s="24" t="str">
        <f t="shared" si="1"/>
        <v>Vazio</v>
      </c>
      <c r="K49" s="67"/>
      <c r="L49" s="67"/>
      <c r="M49" s="67"/>
    </row>
    <row r="50" spans="2:13" s="6" customFormat="1" ht="26.25" customHeight="1" x14ac:dyDescent="0.2">
      <c r="B50" s="20">
        <f t="shared" si="2"/>
        <v>35</v>
      </c>
      <c r="C50" s="58"/>
      <c r="D50" s="59"/>
      <c r="E50" s="51"/>
      <c r="F50" s="52"/>
      <c r="G50" s="53"/>
      <c r="H50" s="53"/>
      <c r="I50" s="23">
        <f t="shared" si="4"/>
        <v>0</v>
      </c>
      <c r="J50" s="24" t="str">
        <f t="shared" si="1"/>
        <v>Vazio</v>
      </c>
      <c r="K50" s="67"/>
      <c r="L50" s="67"/>
      <c r="M50" s="67"/>
    </row>
    <row r="51" spans="2:13" s="22" customFormat="1" ht="26.25" customHeight="1" x14ac:dyDescent="0.2">
      <c r="B51" s="20">
        <f t="shared" si="2"/>
        <v>36</v>
      </c>
      <c r="C51" s="58"/>
      <c r="D51" s="59"/>
      <c r="E51" s="51"/>
      <c r="F51" s="52"/>
      <c r="G51" s="53"/>
      <c r="H51" s="53"/>
      <c r="I51" s="23">
        <f t="shared" si="4"/>
        <v>0</v>
      </c>
      <c r="J51" s="24" t="str">
        <f t="shared" si="1"/>
        <v>Vazio</v>
      </c>
      <c r="K51" s="92"/>
      <c r="L51" s="92"/>
      <c r="M51" s="92"/>
    </row>
    <row r="52" spans="2:13" s="6" customFormat="1" ht="26.25" customHeight="1" x14ac:dyDescent="0.2">
      <c r="B52" s="20">
        <f t="shared" si="2"/>
        <v>37</v>
      </c>
      <c r="C52" s="58"/>
      <c r="D52" s="59"/>
      <c r="E52" s="51"/>
      <c r="F52" s="52"/>
      <c r="G52" s="53"/>
      <c r="H52" s="53"/>
      <c r="I52" s="23">
        <f t="shared" si="4"/>
        <v>0</v>
      </c>
      <c r="J52" s="24" t="str">
        <f t="shared" si="1"/>
        <v>Vazio</v>
      </c>
      <c r="K52" s="67"/>
      <c r="L52" s="67"/>
      <c r="M52" s="67"/>
    </row>
    <row r="53" spans="2:13" s="6" customFormat="1" ht="26.25" customHeight="1" x14ac:dyDescent="0.2">
      <c r="B53" s="20">
        <f t="shared" si="2"/>
        <v>38</v>
      </c>
      <c r="C53" s="58"/>
      <c r="D53" s="59"/>
      <c r="E53" s="51"/>
      <c r="F53" s="52"/>
      <c r="G53" s="53"/>
      <c r="H53" s="53"/>
      <c r="I53" s="23">
        <f t="shared" si="4"/>
        <v>0</v>
      </c>
      <c r="J53" s="24" t="str">
        <f t="shared" si="1"/>
        <v>Vazio</v>
      </c>
      <c r="K53" s="91"/>
      <c r="L53" s="91"/>
      <c r="M53" s="91"/>
    </row>
    <row r="54" spans="2:13" s="6" customFormat="1" ht="26.25" customHeight="1" x14ac:dyDescent="0.2">
      <c r="B54" s="20">
        <f t="shared" si="2"/>
        <v>39</v>
      </c>
      <c r="C54" s="58"/>
      <c r="D54" s="59"/>
      <c r="E54" s="51"/>
      <c r="F54" s="52"/>
      <c r="G54" s="53"/>
      <c r="H54" s="53"/>
      <c r="I54" s="23">
        <f t="shared" si="4"/>
        <v>0</v>
      </c>
      <c r="J54" s="24" t="str">
        <f t="shared" si="1"/>
        <v>Vazio</v>
      </c>
      <c r="K54" s="91"/>
      <c r="L54" s="91"/>
      <c r="M54" s="91"/>
    </row>
    <row r="55" spans="2:13" s="6" customFormat="1" ht="26.25" customHeight="1" x14ac:dyDescent="0.2">
      <c r="B55" s="20">
        <f t="shared" si="2"/>
        <v>40</v>
      </c>
      <c r="C55" s="58"/>
      <c r="D55" s="59"/>
      <c r="E55" s="51"/>
      <c r="F55" s="52"/>
      <c r="G55" s="53"/>
      <c r="H55" s="53"/>
      <c r="I55" s="23">
        <f t="shared" si="4"/>
        <v>0</v>
      </c>
      <c r="J55" s="24" t="str">
        <f t="shared" si="1"/>
        <v>Vazio</v>
      </c>
      <c r="K55" s="91"/>
      <c r="L55" s="91"/>
      <c r="M55" s="91"/>
    </row>
    <row r="56" spans="2:13" s="6" customFormat="1" ht="26.25" customHeight="1" x14ac:dyDescent="0.2">
      <c r="B56" s="20">
        <f t="shared" si="2"/>
        <v>41</v>
      </c>
      <c r="C56" s="58"/>
      <c r="D56" s="59"/>
      <c r="E56" s="51"/>
      <c r="F56" s="52"/>
      <c r="G56" s="53"/>
      <c r="H56" s="53"/>
      <c r="I56" s="23">
        <f t="shared" si="4"/>
        <v>0</v>
      </c>
      <c r="J56" s="24" t="str">
        <f t="shared" si="1"/>
        <v>Vazio</v>
      </c>
      <c r="K56" s="91"/>
      <c r="L56" s="91"/>
      <c r="M56" s="91"/>
    </row>
    <row r="57" spans="2:13" s="6" customFormat="1" ht="26.25" customHeight="1" x14ac:dyDescent="0.2">
      <c r="B57" s="20">
        <f t="shared" si="2"/>
        <v>42</v>
      </c>
      <c r="C57" s="58"/>
      <c r="D57" s="59"/>
      <c r="E57" s="51"/>
      <c r="F57" s="52"/>
      <c r="G57" s="53"/>
      <c r="H57" s="53"/>
      <c r="I57" s="23">
        <f t="shared" si="4"/>
        <v>0</v>
      </c>
      <c r="J57" s="24" t="str">
        <f t="shared" si="1"/>
        <v>Vazio</v>
      </c>
      <c r="K57" s="91"/>
      <c r="L57" s="91"/>
      <c r="M57" s="91"/>
    </row>
    <row r="58" spans="2:13" s="6" customFormat="1" ht="26.25" customHeight="1" x14ac:dyDescent="0.2">
      <c r="B58" s="20">
        <f t="shared" si="2"/>
        <v>43</v>
      </c>
      <c r="C58" s="58"/>
      <c r="D58" s="59"/>
      <c r="E58" s="51"/>
      <c r="F58" s="52"/>
      <c r="G58" s="53"/>
      <c r="H58" s="53"/>
      <c r="I58" s="23">
        <f t="shared" si="4"/>
        <v>0</v>
      </c>
      <c r="J58" s="24" t="str">
        <f t="shared" si="1"/>
        <v>Vazio</v>
      </c>
      <c r="K58" s="91"/>
      <c r="L58" s="91"/>
      <c r="M58" s="91"/>
    </row>
    <row r="59" spans="2:13" s="6" customFormat="1" ht="26.25" customHeight="1" x14ac:dyDescent="0.2">
      <c r="B59" s="20">
        <f t="shared" si="2"/>
        <v>44</v>
      </c>
      <c r="C59" s="58"/>
      <c r="D59" s="59"/>
      <c r="E59" s="51"/>
      <c r="F59" s="52"/>
      <c r="G59" s="53"/>
      <c r="H59" s="53"/>
      <c r="I59" s="23">
        <f t="shared" si="4"/>
        <v>0</v>
      </c>
      <c r="J59" s="24" t="str">
        <f t="shared" si="1"/>
        <v>Vazio</v>
      </c>
      <c r="K59" s="91"/>
      <c r="L59" s="91"/>
      <c r="M59" s="91"/>
    </row>
    <row r="60" spans="2:13" s="6" customFormat="1" ht="26.25" customHeight="1" x14ac:dyDescent="0.2">
      <c r="B60" s="20">
        <f t="shared" si="2"/>
        <v>45</v>
      </c>
      <c r="C60" s="58"/>
      <c r="D60" s="59"/>
      <c r="E60" s="51"/>
      <c r="F60" s="52"/>
      <c r="G60" s="53"/>
      <c r="H60" s="53"/>
      <c r="I60" s="23">
        <f t="shared" si="4"/>
        <v>0</v>
      </c>
      <c r="J60" s="24" t="str">
        <f t="shared" si="1"/>
        <v>Vazio</v>
      </c>
      <c r="K60" s="91"/>
      <c r="L60" s="91"/>
      <c r="M60" s="91"/>
    </row>
    <row r="61" spans="2:13" s="6" customFormat="1" ht="26.25" customHeight="1" x14ac:dyDescent="0.2">
      <c r="B61" s="20">
        <f t="shared" si="2"/>
        <v>46</v>
      </c>
      <c r="C61" s="58"/>
      <c r="D61" s="59"/>
      <c r="E61" s="51"/>
      <c r="F61" s="52"/>
      <c r="G61" s="53"/>
      <c r="H61" s="53"/>
      <c r="I61" s="23">
        <f t="shared" si="4"/>
        <v>0</v>
      </c>
      <c r="J61" s="24" t="str">
        <f t="shared" si="1"/>
        <v>Vazio</v>
      </c>
      <c r="K61" s="91"/>
      <c r="L61" s="91"/>
      <c r="M61" s="91"/>
    </row>
    <row r="62" spans="2:13" s="6" customFormat="1" ht="26.25" customHeight="1" x14ac:dyDescent="0.2">
      <c r="B62" s="20">
        <f t="shared" si="2"/>
        <v>47</v>
      </c>
      <c r="C62" s="58"/>
      <c r="D62" s="59"/>
      <c r="E62" s="51"/>
      <c r="F62" s="52"/>
      <c r="G62" s="53"/>
      <c r="H62" s="53"/>
      <c r="I62" s="23">
        <f t="shared" si="4"/>
        <v>0</v>
      </c>
      <c r="J62" s="24" t="str">
        <f t="shared" si="1"/>
        <v>Vazio</v>
      </c>
      <c r="K62" s="91"/>
      <c r="L62" s="91"/>
      <c r="M62" s="91"/>
    </row>
    <row r="63" spans="2:13" s="6" customFormat="1" ht="26.25" customHeight="1" x14ac:dyDescent="0.2">
      <c r="B63" s="20">
        <f t="shared" si="2"/>
        <v>48</v>
      </c>
      <c r="C63" s="58"/>
      <c r="D63" s="59"/>
      <c r="E63" s="54"/>
      <c r="F63" s="52"/>
      <c r="G63" s="55"/>
      <c r="H63" s="55"/>
      <c r="I63" s="23">
        <f t="shared" si="4"/>
        <v>0</v>
      </c>
      <c r="J63" s="24" t="str">
        <f t="shared" si="1"/>
        <v>Vazio</v>
      </c>
      <c r="K63" s="84"/>
      <c r="L63" s="84"/>
      <c r="M63" s="84"/>
    </row>
    <row r="64" spans="2:13" s="6" customFormat="1" ht="26.25" customHeight="1" x14ac:dyDescent="0.2">
      <c r="B64" s="20">
        <f t="shared" si="2"/>
        <v>49</v>
      </c>
      <c r="C64" s="58"/>
      <c r="D64" s="59"/>
      <c r="E64" s="54"/>
      <c r="F64" s="52"/>
      <c r="G64" s="55"/>
      <c r="H64" s="55"/>
      <c r="I64" s="23">
        <f t="shared" si="4"/>
        <v>0</v>
      </c>
      <c r="J64" s="24" t="str">
        <f t="shared" si="1"/>
        <v>Vazio</v>
      </c>
      <c r="K64" s="84"/>
      <c r="L64" s="84"/>
      <c r="M64" s="84"/>
    </row>
    <row r="65" spans="2:13" s="6" customFormat="1" ht="26.25" customHeight="1" x14ac:dyDescent="0.2">
      <c r="B65" s="20">
        <f t="shared" si="2"/>
        <v>50</v>
      </c>
      <c r="C65" s="58"/>
      <c r="D65" s="59"/>
      <c r="E65" s="54"/>
      <c r="F65" s="52"/>
      <c r="G65" s="55"/>
      <c r="H65" s="55"/>
      <c r="I65" s="23">
        <f t="shared" si="4"/>
        <v>0</v>
      </c>
      <c r="J65" s="24" t="str">
        <f t="shared" si="1"/>
        <v>Vazio</v>
      </c>
      <c r="K65" s="84"/>
      <c r="L65" s="84"/>
      <c r="M65" s="84"/>
    </row>
    <row r="66" spans="2:13" s="6" customFormat="1" ht="26.25" customHeight="1" x14ac:dyDescent="0.2">
      <c r="B66" s="20">
        <f t="shared" si="2"/>
        <v>51</v>
      </c>
      <c r="C66" s="58"/>
      <c r="D66" s="59"/>
      <c r="E66" s="54"/>
      <c r="F66" s="52"/>
      <c r="G66" s="55"/>
      <c r="H66" s="55"/>
      <c r="I66" s="23">
        <f t="shared" si="4"/>
        <v>0</v>
      </c>
      <c r="J66" s="24" t="str">
        <f t="shared" si="1"/>
        <v>Vazio</v>
      </c>
      <c r="K66" s="84"/>
      <c r="L66" s="84"/>
      <c r="M66" s="84"/>
    </row>
    <row r="67" spans="2:13" s="6" customFormat="1" ht="26.25" customHeight="1" x14ac:dyDescent="0.2">
      <c r="B67" s="20">
        <f t="shared" si="2"/>
        <v>52</v>
      </c>
      <c r="C67" s="58"/>
      <c r="D67" s="59"/>
      <c r="E67" s="54"/>
      <c r="F67" s="52"/>
      <c r="G67" s="55"/>
      <c r="H67" s="55"/>
      <c r="I67" s="23">
        <f t="shared" si="4"/>
        <v>0</v>
      </c>
      <c r="J67" s="24" t="str">
        <f t="shared" si="1"/>
        <v>Vazio</v>
      </c>
      <c r="K67" s="84"/>
      <c r="L67" s="84"/>
      <c r="M67" s="84"/>
    </row>
    <row r="68" spans="2:13" s="6" customFormat="1" ht="26.25" customHeight="1" x14ac:dyDescent="0.2">
      <c r="B68" s="20">
        <f t="shared" si="2"/>
        <v>53</v>
      </c>
      <c r="C68" s="58"/>
      <c r="D68" s="59"/>
      <c r="E68" s="54"/>
      <c r="F68" s="52"/>
      <c r="G68" s="55"/>
      <c r="H68" s="55"/>
      <c r="I68" s="23">
        <f t="shared" si="4"/>
        <v>0</v>
      </c>
      <c r="J68" s="24" t="str">
        <f t="shared" si="1"/>
        <v>Vazio</v>
      </c>
      <c r="K68" s="84"/>
      <c r="L68" s="84"/>
      <c r="M68" s="84"/>
    </row>
    <row r="69" spans="2:13" s="6" customFormat="1" ht="26.25" customHeight="1" x14ac:dyDescent="0.2">
      <c r="B69" s="20">
        <f t="shared" si="2"/>
        <v>54</v>
      </c>
      <c r="C69" s="58"/>
      <c r="D69" s="59"/>
      <c r="E69" s="54"/>
      <c r="F69" s="52"/>
      <c r="G69" s="55"/>
      <c r="H69" s="55"/>
      <c r="I69" s="23">
        <f t="shared" si="4"/>
        <v>0</v>
      </c>
      <c r="J69" s="24" t="str">
        <f t="shared" si="1"/>
        <v>Vazio</v>
      </c>
      <c r="K69" s="84"/>
      <c r="L69" s="84"/>
      <c r="M69" s="84"/>
    </row>
    <row r="70" spans="2:13" s="6" customFormat="1" ht="26.25" customHeight="1" x14ac:dyDescent="0.2">
      <c r="B70" s="20">
        <f t="shared" si="2"/>
        <v>55</v>
      </c>
      <c r="C70" s="58"/>
      <c r="D70" s="59"/>
      <c r="E70" s="54"/>
      <c r="F70" s="52"/>
      <c r="G70" s="55"/>
      <c r="H70" s="55"/>
      <c r="I70" s="23">
        <f t="shared" si="4"/>
        <v>0</v>
      </c>
      <c r="J70" s="24" t="str">
        <f t="shared" si="1"/>
        <v>Vazio</v>
      </c>
      <c r="K70" s="84"/>
      <c r="L70" s="84"/>
      <c r="M70" s="84"/>
    </row>
    <row r="71" spans="2:13" s="6" customFormat="1" ht="26.25" customHeight="1" x14ac:dyDescent="0.2">
      <c r="B71" s="20">
        <f t="shared" si="2"/>
        <v>56</v>
      </c>
      <c r="C71" s="58"/>
      <c r="D71" s="59"/>
      <c r="E71" s="54"/>
      <c r="F71" s="52"/>
      <c r="G71" s="55"/>
      <c r="H71" s="55"/>
      <c r="I71" s="23">
        <f t="shared" si="4"/>
        <v>0</v>
      </c>
      <c r="J71" s="24" t="str">
        <f t="shared" si="1"/>
        <v>Vazio</v>
      </c>
      <c r="K71" s="84"/>
      <c r="L71" s="84"/>
      <c r="M71" s="84"/>
    </row>
    <row r="72" spans="2:13" s="6" customFormat="1" ht="26.25" customHeight="1" x14ac:dyDescent="0.2">
      <c r="B72" s="20">
        <f t="shared" si="2"/>
        <v>57</v>
      </c>
      <c r="C72" s="58"/>
      <c r="D72" s="59"/>
      <c r="E72" s="54"/>
      <c r="F72" s="52"/>
      <c r="G72" s="55"/>
      <c r="H72" s="55"/>
      <c r="I72" s="23">
        <f t="shared" si="4"/>
        <v>0</v>
      </c>
      <c r="J72" s="24" t="str">
        <f t="shared" si="1"/>
        <v>Vazio</v>
      </c>
      <c r="K72" s="84"/>
      <c r="L72" s="84"/>
      <c r="M72" s="84"/>
    </row>
    <row r="73" spans="2:13" s="6" customFormat="1" ht="26.25" customHeight="1" x14ac:dyDescent="0.2">
      <c r="B73" s="20">
        <f t="shared" si="2"/>
        <v>58</v>
      </c>
      <c r="C73" s="58"/>
      <c r="D73" s="59"/>
      <c r="E73" s="54"/>
      <c r="F73" s="52"/>
      <c r="G73" s="55"/>
      <c r="H73" s="55"/>
      <c r="I73" s="23">
        <f t="shared" si="4"/>
        <v>0</v>
      </c>
      <c r="J73" s="24" t="str">
        <f t="shared" si="1"/>
        <v>Vazio</v>
      </c>
      <c r="K73" s="84"/>
      <c r="L73" s="84"/>
      <c r="M73" s="84"/>
    </row>
    <row r="74" spans="2:13" s="6" customFormat="1" ht="26.25" customHeight="1" x14ac:dyDescent="0.2">
      <c r="B74" s="20">
        <f t="shared" si="2"/>
        <v>59</v>
      </c>
      <c r="C74" s="58"/>
      <c r="D74" s="59"/>
      <c r="E74" s="54"/>
      <c r="F74" s="52"/>
      <c r="G74" s="55"/>
      <c r="H74" s="55"/>
      <c r="I74" s="23">
        <f t="shared" si="4"/>
        <v>0</v>
      </c>
      <c r="J74" s="24" t="str">
        <f t="shared" si="1"/>
        <v>Vazio</v>
      </c>
      <c r="K74" s="84"/>
      <c r="L74" s="84"/>
      <c r="M74" s="84"/>
    </row>
    <row r="75" spans="2:13" s="6" customFormat="1" ht="26.25" customHeight="1" x14ac:dyDescent="0.2">
      <c r="B75" s="20">
        <f t="shared" si="2"/>
        <v>60</v>
      </c>
      <c r="C75" s="58"/>
      <c r="D75" s="59"/>
      <c r="E75" s="54"/>
      <c r="F75" s="52"/>
      <c r="G75" s="55"/>
      <c r="H75" s="55"/>
      <c r="I75" s="23">
        <f t="shared" si="4"/>
        <v>0</v>
      </c>
      <c r="J75" s="24" t="str">
        <f t="shared" si="1"/>
        <v>Vazio</v>
      </c>
      <c r="K75" s="84"/>
      <c r="L75" s="84"/>
      <c r="M75" s="84"/>
    </row>
    <row r="76" spans="2:13" s="6" customFormat="1" ht="26.25" customHeight="1" x14ac:dyDescent="0.2">
      <c r="B76" s="20">
        <f t="shared" si="2"/>
        <v>61</v>
      </c>
      <c r="C76" s="58"/>
      <c r="D76" s="59"/>
      <c r="E76" s="54"/>
      <c r="F76" s="52"/>
      <c r="G76" s="55"/>
      <c r="H76" s="55"/>
      <c r="I76" s="23">
        <f t="shared" si="4"/>
        <v>0</v>
      </c>
      <c r="J76" s="24" t="str">
        <f t="shared" si="1"/>
        <v>Vazio</v>
      </c>
      <c r="K76" s="84"/>
      <c r="L76" s="84"/>
      <c r="M76" s="84"/>
    </row>
    <row r="77" spans="2:13" s="6" customFormat="1" ht="26.25" customHeight="1" x14ac:dyDescent="0.2">
      <c r="B77" s="20">
        <f t="shared" si="2"/>
        <v>62</v>
      </c>
      <c r="C77" s="58"/>
      <c r="D77" s="59"/>
      <c r="E77" s="54"/>
      <c r="F77" s="52"/>
      <c r="G77" s="55"/>
      <c r="H77" s="55"/>
      <c r="I77" s="23">
        <f t="shared" si="4"/>
        <v>0</v>
      </c>
      <c r="J77" s="24" t="str">
        <f t="shared" si="1"/>
        <v>Vazio</v>
      </c>
      <c r="K77" s="84"/>
      <c r="L77" s="84"/>
      <c r="M77" s="84"/>
    </row>
    <row r="78" spans="2:13" s="6" customFormat="1" ht="26.25" customHeight="1" x14ac:dyDescent="0.2">
      <c r="B78" s="20">
        <f t="shared" si="2"/>
        <v>63</v>
      </c>
      <c r="C78" s="58"/>
      <c r="D78" s="59"/>
      <c r="E78" s="54"/>
      <c r="F78" s="52"/>
      <c r="G78" s="55"/>
      <c r="H78" s="55"/>
      <c r="I78" s="23">
        <f t="shared" si="4"/>
        <v>0</v>
      </c>
      <c r="J78" s="24" t="str">
        <f t="shared" si="1"/>
        <v>Vazio</v>
      </c>
      <c r="K78" s="84"/>
      <c r="L78" s="84"/>
      <c r="M78" s="84"/>
    </row>
    <row r="79" spans="2:13" s="6" customFormat="1" ht="26.25" customHeight="1" x14ac:dyDescent="0.2">
      <c r="B79" s="20">
        <f t="shared" si="2"/>
        <v>64</v>
      </c>
      <c r="C79" s="58"/>
      <c r="D79" s="59"/>
      <c r="E79" s="54"/>
      <c r="F79" s="52"/>
      <c r="G79" s="55"/>
      <c r="H79" s="55"/>
      <c r="I79" s="23">
        <f t="shared" si="4"/>
        <v>0</v>
      </c>
      <c r="J79" s="24" t="str">
        <f t="shared" si="1"/>
        <v>Vazio</v>
      </c>
      <c r="K79" s="84"/>
      <c r="L79" s="84"/>
      <c r="M79" s="84"/>
    </row>
    <row r="80" spans="2:13" s="6" customFormat="1" ht="26.25" customHeight="1" x14ac:dyDescent="0.2">
      <c r="B80" s="20">
        <f t="shared" si="2"/>
        <v>65</v>
      </c>
      <c r="C80" s="58"/>
      <c r="D80" s="59"/>
      <c r="E80" s="54"/>
      <c r="F80" s="52"/>
      <c r="G80" s="55"/>
      <c r="H80" s="55"/>
      <c r="I80" s="23">
        <f t="shared" si="4"/>
        <v>0</v>
      </c>
      <c r="J80" s="24" t="str">
        <f t="shared" si="1"/>
        <v>Vazio</v>
      </c>
      <c r="K80" s="84"/>
      <c r="L80" s="84"/>
      <c r="M80" s="84"/>
    </row>
    <row r="81" spans="2:13" s="6" customFormat="1" ht="26.25" customHeight="1" x14ac:dyDescent="0.2">
      <c r="B81" s="20">
        <f t="shared" si="2"/>
        <v>66</v>
      </c>
      <c r="C81" s="58"/>
      <c r="D81" s="59"/>
      <c r="E81" s="54"/>
      <c r="F81" s="52"/>
      <c r="G81" s="55"/>
      <c r="H81" s="55"/>
      <c r="I81" s="23">
        <f t="shared" si="4"/>
        <v>0</v>
      </c>
      <c r="J81" s="24" t="str">
        <f t="shared" si="1"/>
        <v>Vazio</v>
      </c>
      <c r="K81" s="84"/>
      <c r="L81" s="84"/>
      <c r="M81" s="84"/>
    </row>
    <row r="82" spans="2:13" s="6" customFormat="1" ht="26.25" customHeight="1" x14ac:dyDescent="0.2">
      <c r="B82" s="20">
        <f t="shared" si="2"/>
        <v>67</v>
      </c>
      <c r="C82" s="58"/>
      <c r="D82" s="59"/>
      <c r="E82" s="54"/>
      <c r="F82" s="52"/>
      <c r="G82" s="55"/>
      <c r="H82" s="55"/>
      <c r="I82" s="23">
        <f t="shared" si="4"/>
        <v>0</v>
      </c>
      <c r="J82" s="24" t="str">
        <f t="shared" si="1"/>
        <v>Vazio</v>
      </c>
      <c r="K82" s="84"/>
      <c r="L82" s="84"/>
      <c r="M82" s="84"/>
    </row>
    <row r="83" spans="2:13" s="6" customFormat="1" ht="26.25" customHeight="1" x14ac:dyDescent="0.2">
      <c r="B83" s="20">
        <f t="shared" ref="B83:B101" si="5">B82+1</f>
        <v>68</v>
      </c>
      <c r="C83" s="58"/>
      <c r="D83" s="59"/>
      <c r="E83" s="54"/>
      <c r="F83" s="52"/>
      <c r="G83" s="55"/>
      <c r="H83" s="55"/>
      <c r="I83" s="23">
        <f t="shared" si="4"/>
        <v>0</v>
      </c>
      <c r="J83" s="24" t="str">
        <f t="shared" ref="J83:J101" si="6">IF(G83=0,"Vazio",IF(H83&gt;0,"Concluído",IF(G83&gt;=$K$14,"Em andamento",IF(G83&lt;$K$14,"Atrasado",0))))</f>
        <v>Vazio</v>
      </c>
      <c r="K83" s="84"/>
      <c r="L83" s="84"/>
      <c r="M83" s="84"/>
    </row>
    <row r="84" spans="2:13" s="6" customFormat="1" ht="26.25" customHeight="1" x14ac:dyDescent="0.2">
      <c r="B84" s="20">
        <f t="shared" si="5"/>
        <v>69</v>
      </c>
      <c r="C84" s="58"/>
      <c r="D84" s="59"/>
      <c r="E84" s="54"/>
      <c r="F84" s="52"/>
      <c r="G84" s="55"/>
      <c r="H84" s="55"/>
      <c r="I84" s="23">
        <f t="shared" si="4"/>
        <v>0</v>
      </c>
      <c r="J84" s="24" t="str">
        <f t="shared" si="6"/>
        <v>Vazio</v>
      </c>
      <c r="K84" s="84"/>
      <c r="L84" s="84"/>
      <c r="M84" s="84"/>
    </row>
    <row r="85" spans="2:13" s="6" customFormat="1" ht="26.25" customHeight="1" x14ac:dyDescent="0.2">
      <c r="B85" s="20">
        <f t="shared" si="5"/>
        <v>70</v>
      </c>
      <c r="C85" s="58"/>
      <c r="D85" s="59"/>
      <c r="E85" s="54"/>
      <c r="F85" s="52"/>
      <c r="G85" s="55"/>
      <c r="H85" s="55"/>
      <c r="I85" s="23">
        <f t="shared" si="4"/>
        <v>0</v>
      </c>
      <c r="J85" s="24" t="str">
        <f t="shared" si="6"/>
        <v>Vazio</v>
      </c>
      <c r="K85" s="84"/>
      <c r="L85" s="84"/>
      <c r="M85" s="84"/>
    </row>
    <row r="86" spans="2:13" s="6" customFormat="1" ht="26.25" customHeight="1" x14ac:dyDescent="0.2">
      <c r="B86" s="20">
        <f t="shared" si="5"/>
        <v>71</v>
      </c>
      <c r="C86" s="58"/>
      <c r="D86" s="59"/>
      <c r="E86" s="54"/>
      <c r="F86" s="52"/>
      <c r="G86" s="55"/>
      <c r="H86" s="55"/>
      <c r="I86" s="23">
        <f t="shared" si="4"/>
        <v>0</v>
      </c>
      <c r="J86" s="24" t="str">
        <f t="shared" si="6"/>
        <v>Vazio</v>
      </c>
      <c r="K86" s="84"/>
      <c r="L86" s="84"/>
      <c r="M86" s="84"/>
    </row>
    <row r="87" spans="2:13" s="6" customFormat="1" ht="26.25" customHeight="1" x14ac:dyDescent="0.2">
      <c r="B87" s="20">
        <f t="shared" si="5"/>
        <v>72</v>
      </c>
      <c r="C87" s="58"/>
      <c r="D87" s="59"/>
      <c r="E87" s="54"/>
      <c r="F87" s="52"/>
      <c r="G87" s="55"/>
      <c r="H87" s="55"/>
      <c r="I87" s="23">
        <f t="shared" si="4"/>
        <v>0</v>
      </c>
      <c r="J87" s="24" t="str">
        <f t="shared" si="6"/>
        <v>Vazio</v>
      </c>
      <c r="K87" s="84"/>
      <c r="L87" s="84"/>
      <c r="M87" s="84"/>
    </row>
    <row r="88" spans="2:13" s="6" customFormat="1" ht="26.25" customHeight="1" x14ac:dyDescent="0.2">
      <c r="B88" s="20">
        <f t="shared" si="5"/>
        <v>73</v>
      </c>
      <c r="C88" s="58"/>
      <c r="D88" s="59"/>
      <c r="E88" s="54"/>
      <c r="F88" s="52"/>
      <c r="G88" s="55"/>
      <c r="H88" s="55"/>
      <c r="I88" s="23">
        <f t="shared" si="4"/>
        <v>0</v>
      </c>
      <c r="J88" s="24" t="str">
        <f t="shared" si="6"/>
        <v>Vazio</v>
      </c>
      <c r="K88" s="84"/>
      <c r="L88" s="84"/>
      <c r="M88" s="84"/>
    </row>
    <row r="89" spans="2:13" s="6" customFormat="1" ht="26.25" customHeight="1" x14ac:dyDescent="0.2">
      <c r="B89" s="20">
        <f t="shared" si="5"/>
        <v>74</v>
      </c>
      <c r="C89" s="58"/>
      <c r="D89" s="59"/>
      <c r="E89" s="54"/>
      <c r="F89" s="52"/>
      <c r="G89" s="55"/>
      <c r="H89" s="55"/>
      <c r="I89" s="23">
        <f t="shared" si="4"/>
        <v>0</v>
      </c>
      <c r="J89" s="24" t="str">
        <f t="shared" si="6"/>
        <v>Vazio</v>
      </c>
      <c r="K89" s="84"/>
      <c r="L89" s="84"/>
      <c r="M89" s="84"/>
    </row>
    <row r="90" spans="2:13" s="6" customFormat="1" ht="26.25" customHeight="1" x14ac:dyDescent="0.2">
      <c r="B90" s="20">
        <f t="shared" si="5"/>
        <v>75</v>
      </c>
      <c r="C90" s="58"/>
      <c r="D90" s="59"/>
      <c r="E90" s="54"/>
      <c r="F90" s="52"/>
      <c r="G90" s="55"/>
      <c r="H90" s="55"/>
      <c r="I90" s="23">
        <f t="shared" si="4"/>
        <v>0</v>
      </c>
      <c r="J90" s="24" t="str">
        <f t="shared" si="6"/>
        <v>Vazio</v>
      </c>
      <c r="K90" s="84"/>
      <c r="L90" s="84"/>
      <c r="M90" s="84"/>
    </row>
    <row r="91" spans="2:13" s="6" customFormat="1" ht="26.25" customHeight="1" x14ac:dyDescent="0.2">
      <c r="B91" s="20">
        <f t="shared" si="5"/>
        <v>76</v>
      </c>
      <c r="C91" s="58"/>
      <c r="D91" s="59"/>
      <c r="E91" s="54"/>
      <c r="F91" s="52"/>
      <c r="G91" s="55"/>
      <c r="H91" s="55"/>
      <c r="I91" s="23">
        <f t="shared" si="4"/>
        <v>0</v>
      </c>
      <c r="J91" s="24" t="str">
        <f t="shared" si="6"/>
        <v>Vazio</v>
      </c>
      <c r="K91" s="84"/>
      <c r="L91" s="84"/>
      <c r="M91" s="84"/>
    </row>
    <row r="92" spans="2:13" s="6" customFormat="1" ht="26.25" customHeight="1" x14ac:dyDescent="0.2">
      <c r="B92" s="20">
        <f t="shared" si="5"/>
        <v>77</v>
      </c>
      <c r="C92" s="58"/>
      <c r="D92" s="59"/>
      <c r="E92" s="54"/>
      <c r="F92" s="52"/>
      <c r="G92" s="55"/>
      <c r="H92" s="55"/>
      <c r="I92" s="23">
        <f t="shared" si="4"/>
        <v>0</v>
      </c>
      <c r="J92" s="24" t="str">
        <f t="shared" si="6"/>
        <v>Vazio</v>
      </c>
      <c r="K92" s="84"/>
      <c r="L92" s="84"/>
      <c r="M92" s="84"/>
    </row>
    <row r="93" spans="2:13" s="6" customFormat="1" ht="26.25" customHeight="1" x14ac:dyDescent="0.2">
      <c r="B93" s="20">
        <f t="shared" si="5"/>
        <v>78</v>
      </c>
      <c r="C93" s="58"/>
      <c r="D93" s="59"/>
      <c r="E93" s="54"/>
      <c r="F93" s="52"/>
      <c r="G93" s="55"/>
      <c r="H93" s="55"/>
      <c r="I93" s="23">
        <f t="shared" si="4"/>
        <v>0</v>
      </c>
      <c r="J93" s="24" t="str">
        <f t="shared" si="6"/>
        <v>Vazio</v>
      </c>
      <c r="K93" s="84"/>
      <c r="L93" s="84"/>
      <c r="M93" s="84"/>
    </row>
    <row r="94" spans="2:13" s="6" customFormat="1" ht="26.25" customHeight="1" x14ac:dyDescent="0.2">
      <c r="B94" s="20">
        <f t="shared" si="5"/>
        <v>79</v>
      </c>
      <c r="C94" s="58"/>
      <c r="D94" s="59"/>
      <c r="E94" s="54"/>
      <c r="F94" s="52"/>
      <c r="G94" s="55"/>
      <c r="H94" s="55"/>
      <c r="I94" s="23">
        <f t="shared" si="4"/>
        <v>0</v>
      </c>
      <c r="J94" s="24" t="str">
        <f t="shared" si="6"/>
        <v>Vazio</v>
      </c>
      <c r="K94" s="84"/>
      <c r="L94" s="84"/>
      <c r="M94" s="84"/>
    </row>
    <row r="95" spans="2:13" s="6" customFormat="1" ht="26.25" customHeight="1" x14ac:dyDescent="0.2">
      <c r="B95" s="20">
        <f t="shared" si="5"/>
        <v>80</v>
      </c>
      <c r="C95" s="58"/>
      <c r="D95" s="59"/>
      <c r="E95" s="54"/>
      <c r="F95" s="52"/>
      <c r="G95" s="55"/>
      <c r="H95" s="55"/>
      <c r="I95" s="23">
        <f t="shared" si="4"/>
        <v>0</v>
      </c>
      <c r="J95" s="24" t="str">
        <f t="shared" si="6"/>
        <v>Vazio</v>
      </c>
      <c r="K95" s="84"/>
      <c r="L95" s="84"/>
      <c r="M95" s="84"/>
    </row>
    <row r="96" spans="2:13" s="6" customFormat="1" ht="26.25" customHeight="1" x14ac:dyDescent="0.2">
      <c r="B96" s="20">
        <f t="shared" si="5"/>
        <v>81</v>
      </c>
      <c r="C96" s="58"/>
      <c r="D96" s="59"/>
      <c r="E96" s="54"/>
      <c r="F96" s="52"/>
      <c r="G96" s="55"/>
      <c r="H96" s="55"/>
      <c r="I96" s="23">
        <f t="shared" si="4"/>
        <v>0</v>
      </c>
      <c r="J96" s="24" t="str">
        <f t="shared" si="6"/>
        <v>Vazio</v>
      </c>
      <c r="K96" s="84"/>
      <c r="L96" s="84"/>
      <c r="M96" s="84"/>
    </row>
    <row r="97" spans="2:13" s="6" customFormat="1" ht="26.25" customHeight="1" x14ac:dyDescent="0.2">
      <c r="B97" s="20">
        <f t="shared" si="5"/>
        <v>82</v>
      </c>
      <c r="C97" s="58"/>
      <c r="D97" s="59"/>
      <c r="E97" s="54"/>
      <c r="F97" s="52"/>
      <c r="G97" s="55"/>
      <c r="H97" s="55"/>
      <c r="I97" s="23">
        <f t="shared" si="4"/>
        <v>0</v>
      </c>
      <c r="J97" s="24" t="str">
        <f t="shared" si="6"/>
        <v>Vazio</v>
      </c>
      <c r="K97" s="84"/>
      <c r="L97" s="84"/>
      <c r="M97" s="84"/>
    </row>
    <row r="98" spans="2:13" s="6" customFormat="1" ht="26.25" customHeight="1" x14ac:dyDescent="0.2">
      <c r="B98" s="20">
        <f t="shared" si="5"/>
        <v>83</v>
      </c>
      <c r="C98" s="58"/>
      <c r="D98" s="59"/>
      <c r="E98" s="54"/>
      <c r="F98" s="52"/>
      <c r="G98" s="55"/>
      <c r="H98" s="55"/>
      <c r="I98" s="23">
        <f t="shared" si="4"/>
        <v>0</v>
      </c>
      <c r="J98" s="24" t="str">
        <f t="shared" si="6"/>
        <v>Vazio</v>
      </c>
      <c r="K98" s="84"/>
      <c r="L98" s="84"/>
      <c r="M98" s="84"/>
    </row>
    <row r="99" spans="2:13" s="6" customFormat="1" ht="26.25" customHeight="1" x14ac:dyDescent="0.2">
      <c r="B99" s="20">
        <f t="shared" si="5"/>
        <v>84</v>
      </c>
      <c r="C99" s="58"/>
      <c r="D99" s="59"/>
      <c r="E99" s="54"/>
      <c r="F99" s="52"/>
      <c r="G99" s="55"/>
      <c r="H99" s="55"/>
      <c r="I99" s="23">
        <f t="shared" si="4"/>
        <v>0</v>
      </c>
      <c r="J99" s="24" t="str">
        <f t="shared" si="6"/>
        <v>Vazio</v>
      </c>
      <c r="K99" s="84"/>
      <c r="L99" s="84"/>
      <c r="M99" s="84"/>
    </row>
    <row r="100" spans="2:13" s="6" customFormat="1" ht="26.25" customHeight="1" x14ac:dyDescent="0.2">
      <c r="B100" s="20">
        <f t="shared" si="5"/>
        <v>85</v>
      </c>
      <c r="C100" s="58"/>
      <c r="D100" s="59"/>
      <c r="E100" s="54"/>
      <c r="F100" s="52"/>
      <c r="G100" s="55"/>
      <c r="H100" s="55"/>
      <c r="I100" s="23">
        <f t="shared" si="4"/>
        <v>0</v>
      </c>
      <c r="J100" s="24" t="str">
        <f t="shared" si="6"/>
        <v>Vazio</v>
      </c>
      <c r="K100" s="84"/>
      <c r="L100" s="84"/>
      <c r="M100" s="84"/>
    </row>
    <row r="101" spans="2:13" s="6" customFormat="1" ht="26.25" customHeight="1" x14ac:dyDescent="0.2">
      <c r="B101" s="20">
        <f t="shared" si="5"/>
        <v>86</v>
      </c>
      <c r="C101" s="58"/>
      <c r="D101" s="59"/>
      <c r="E101" s="54"/>
      <c r="F101" s="52"/>
      <c r="G101" s="55"/>
      <c r="H101" s="55"/>
      <c r="I101" s="23">
        <f t="shared" si="4"/>
        <v>0</v>
      </c>
      <c r="J101" s="24" t="str">
        <f t="shared" si="6"/>
        <v>Vazio</v>
      </c>
      <c r="K101" s="84"/>
      <c r="L101" s="84"/>
      <c r="M101" s="84"/>
    </row>
    <row r="102" spans="2:13" x14ac:dyDescent="0.2">
      <c r="B102" s="18"/>
      <c r="C102" s="19"/>
      <c r="D102" s="19"/>
      <c r="E102" s="18"/>
      <c r="F102" s="18"/>
      <c r="G102" s="18"/>
      <c r="H102" s="18"/>
    </row>
    <row r="103" spans="2:13" x14ac:dyDescent="0.2">
      <c r="B103" s="18"/>
      <c r="C103" s="19"/>
      <c r="D103" s="19"/>
      <c r="E103" s="18"/>
      <c r="F103" s="18"/>
      <c r="G103" s="18"/>
      <c r="H103" s="18"/>
    </row>
    <row r="104" spans="2:13" ht="15" x14ac:dyDescent="0.2">
      <c r="B104" s="25" t="s">
        <v>13</v>
      </c>
      <c r="C104" s="26" t="s">
        <v>14</v>
      </c>
      <c r="D104" s="26"/>
      <c r="E104" s="27" t="s">
        <v>15</v>
      </c>
      <c r="F104" s="27" t="s">
        <v>16</v>
      </c>
      <c r="G104" s="28" t="s">
        <v>17</v>
      </c>
      <c r="H104" s="18"/>
      <c r="J104" s="10" t="s">
        <v>24</v>
      </c>
      <c r="K104" t="s">
        <v>26</v>
      </c>
      <c r="L104" t="s">
        <v>27</v>
      </c>
      <c r="M104" s="8"/>
    </row>
    <row r="105" spans="2:13" x14ac:dyDescent="0.2">
      <c r="B105" s="25">
        <v>1</v>
      </c>
      <c r="C105" s="29" t="s">
        <v>36</v>
      </c>
      <c r="D105" s="29"/>
      <c r="E105" s="18">
        <f t="shared" ref="E105:E122" si="7">COUNTIF($E$16:$E$62,C105)</f>
        <v>0</v>
      </c>
      <c r="F105" s="18">
        <f t="shared" ref="F105:F122" si="8">COUNTIFS($E$16:$E$62,C105,$J$16:$J$62,"Concluído")</f>
        <v>0</v>
      </c>
      <c r="G105" s="18">
        <f t="shared" ref="G105:G122" si="9">E105-F105</f>
        <v>0</v>
      </c>
      <c r="H105" s="18"/>
      <c r="J105" s="11" t="s">
        <v>23</v>
      </c>
      <c r="K105" s="31">
        <v>0</v>
      </c>
      <c r="L105" s="31">
        <v>0</v>
      </c>
      <c r="M105" s="8"/>
    </row>
    <row r="106" spans="2:13" x14ac:dyDescent="0.2">
      <c r="B106" s="25">
        <v>2</v>
      </c>
      <c r="C106" s="30" t="s">
        <v>37</v>
      </c>
      <c r="D106" s="30"/>
      <c r="E106" s="18">
        <f t="shared" si="7"/>
        <v>0</v>
      </c>
      <c r="F106" s="18">
        <f t="shared" si="8"/>
        <v>0</v>
      </c>
      <c r="G106" s="18">
        <f t="shared" si="9"/>
        <v>0</v>
      </c>
      <c r="H106" s="18"/>
      <c r="J106" s="11" t="s">
        <v>20</v>
      </c>
      <c r="K106" s="31">
        <v>0</v>
      </c>
      <c r="L106" s="31">
        <v>0</v>
      </c>
      <c r="M106" s="8"/>
    </row>
    <row r="107" spans="2:13" x14ac:dyDescent="0.2">
      <c r="B107" s="25">
        <v>3</v>
      </c>
      <c r="C107" s="30" t="s">
        <v>42</v>
      </c>
      <c r="D107" s="30"/>
      <c r="E107" s="18">
        <f t="shared" si="7"/>
        <v>0</v>
      </c>
      <c r="F107" s="18">
        <f t="shared" si="8"/>
        <v>0</v>
      </c>
      <c r="G107" s="18">
        <f t="shared" si="9"/>
        <v>0</v>
      </c>
      <c r="H107" s="18"/>
      <c r="J107" s="11" t="s">
        <v>39</v>
      </c>
      <c r="K107" s="31">
        <v>0</v>
      </c>
      <c r="L107" s="31">
        <v>0</v>
      </c>
      <c r="M107" s="8"/>
    </row>
    <row r="108" spans="2:13" x14ac:dyDescent="0.2">
      <c r="B108" s="25">
        <v>4</v>
      </c>
      <c r="C108" s="30" t="s">
        <v>18</v>
      </c>
      <c r="D108" s="30"/>
      <c r="E108" s="18">
        <f t="shared" si="7"/>
        <v>0</v>
      </c>
      <c r="F108" s="18">
        <f t="shared" si="8"/>
        <v>0</v>
      </c>
      <c r="G108" s="18">
        <f t="shared" si="9"/>
        <v>0</v>
      </c>
      <c r="H108" s="18"/>
      <c r="J108" s="11" t="s">
        <v>22</v>
      </c>
      <c r="K108" s="31">
        <v>0</v>
      </c>
      <c r="L108" s="31">
        <v>0</v>
      </c>
      <c r="M108" s="8"/>
    </row>
    <row r="109" spans="2:13" x14ac:dyDescent="0.2">
      <c r="B109" s="25">
        <v>5</v>
      </c>
      <c r="C109" s="30" t="s">
        <v>38</v>
      </c>
      <c r="D109" s="30"/>
      <c r="E109" s="18">
        <f t="shared" si="7"/>
        <v>0</v>
      </c>
      <c r="F109" s="18">
        <f t="shared" si="8"/>
        <v>0</v>
      </c>
      <c r="G109" s="18">
        <f t="shared" si="9"/>
        <v>0</v>
      </c>
      <c r="H109" s="18"/>
      <c r="J109" s="11" t="s">
        <v>37</v>
      </c>
      <c r="K109" s="31">
        <v>0</v>
      </c>
      <c r="L109" s="31">
        <v>0</v>
      </c>
      <c r="M109" s="8"/>
    </row>
    <row r="110" spans="2:13" x14ac:dyDescent="0.2">
      <c r="B110" s="25">
        <v>6</v>
      </c>
      <c r="C110" s="30" t="s">
        <v>39</v>
      </c>
      <c r="D110" s="30"/>
      <c r="E110" s="18">
        <f t="shared" si="7"/>
        <v>0</v>
      </c>
      <c r="F110" s="18">
        <f t="shared" si="8"/>
        <v>0</v>
      </c>
      <c r="G110" s="18">
        <f t="shared" si="9"/>
        <v>0</v>
      </c>
      <c r="H110" s="18"/>
      <c r="J110" s="11" t="s">
        <v>43</v>
      </c>
      <c r="K110" s="31">
        <v>0</v>
      </c>
      <c r="L110" s="31">
        <v>0</v>
      </c>
      <c r="M110" s="8"/>
    </row>
    <row r="111" spans="2:13" x14ac:dyDescent="0.2">
      <c r="B111" s="25">
        <v>7</v>
      </c>
      <c r="C111" s="30" t="s">
        <v>43</v>
      </c>
      <c r="D111" s="30"/>
      <c r="E111" s="18">
        <f t="shared" si="7"/>
        <v>0</v>
      </c>
      <c r="F111" s="18">
        <f t="shared" si="8"/>
        <v>0</v>
      </c>
      <c r="G111" s="18">
        <f t="shared" si="9"/>
        <v>0</v>
      </c>
      <c r="H111" s="18"/>
      <c r="J111" s="11" t="s">
        <v>18</v>
      </c>
      <c r="K111" s="31">
        <v>0</v>
      </c>
      <c r="L111" s="31">
        <v>0</v>
      </c>
      <c r="M111" s="8"/>
    </row>
    <row r="112" spans="2:13" x14ac:dyDescent="0.2">
      <c r="B112" s="25">
        <v>8</v>
      </c>
      <c r="C112" s="30" t="s">
        <v>30</v>
      </c>
      <c r="D112" s="30"/>
      <c r="E112" s="18">
        <f t="shared" si="7"/>
        <v>0</v>
      </c>
      <c r="F112" s="18">
        <f t="shared" si="8"/>
        <v>0</v>
      </c>
      <c r="G112" s="18">
        <f t="shared" si="9"/>
        <v>0</v>
      </c>
      <c r="H112" s="18"/>
      <c r="J112" s="11" t="s">
        <v>40</v>
      </c>
      <c r="K112" s="31">
        <v>0</v>
      </c>
      <c r="L112" s="31">
        <v>0</v>
      </c>
      <c r="M112" s="8"/>
    </row>
    <row r="113" spans="2:13" x14ac:dyDescent="0.2">
      <c r="B113" s="25">
        <v>9</v>
      </c>
      <c r="C113" s="30" t="s">
        <v>35</v>
      </c>
      <c r="D113" s="30"/>
      <c r="E113" s="18">
        <f t="shared" si="7"/>
        <v>0</v>
      </c>
      <c r="F113" s="18">
        <f t="shared" si="8"/>
        <v>0</v>
      </c>
      <c r="G113" s="18">
        <f t="shared" si="9"/>
        <v>0</v>
      </c>
      <c r="H113" s="18"/>
      <c r="J113" s="11" t="s">
        <v>21</v>
      </c>
      <c r="K113" s="31">
        <v>0</v>
      </c>
      <c r="L113" s="31">
        <v>0</v>
      </c>
      <c r="M113" s="8"/>
    </row>
    <row r="114" spans="2:13" x14ac:dyDescent="0.2">
      <c r="B114" s="25">
        <v>10</v>
      </c>
      <c r="C114" s="30" t="s">
        <v>40</v>
      </c>
      <c r="D114" s="30"/>
      <c r="E114" s="18">
        <f t="shared" si="7"/>
        <v>0</v>
      </c>
      <c r="F114" s="18">
        <f t="shared" si="8"/>
        <v>0</v>
      </c>
      <c r="G114" s="18">
        <f t="shared" si="9"/>
        <v>0</v>
      </c>
      <c r="H114" s="18"/>
      <c r="J114" s="11" t="s">
        <v>30</v>
      </c>
      <c r="K114" s="31">
        <v>0</v>
      </c>
      <c r="L114" s="31">
        <v>0</v>
      </c>
      <c r="M114" s="8"/>
    </row>
    <row r="115" spans="2:13" x14ac:dyDescent="0.2">
      <c r="B115" s="25">
        <v>11</v>
      </c>
      <c r="C115" s="30" t="s">
        <v>41</v>
      </c>
      <c r="D115" s="30"/>
      <c r="E115" s="18">
        <f t="shared" si="7"/>
        <v>0</v>
      </c>
      <c r="F115" s="18">
        <f t="shared" si="8"/>
        <v>0</v>
      </c>
      <c r="G115" s="18">
        <f t="shared" si="9"/>
        <v>0</v>
      </c>
      <c r="H115" s="18"/>
      <c r="J115" s="11" t="s">
        <v>29</v>
      </c>
      <c r="K115" s="31">
        <v>0</v>
      </c>
      <c r="L115" s="31">
        <v>0</v>
      </c>
      <c r="M115" s="8"/>
    </row>
    <row r="116" spans="2:13" x14ac:dyDescent="0.2">
      <c r="B116" s="25">
        <v>12</v>
      </c>
      <c r="C116" s="30" t="s">
        <v>31</v>
      </c>
      <c r="D116" s="30"/>
      <c r="E116" s="18">
        <f t="shared" si="7"/>
        <v>0</v>
      </c>
      <c r="F116" s="18">
        <f t="shared" si="8"/>
        <v>0</v>
      </c>
      <c r="G116" s="18">
        <f t="shared" si="9"/>
        <v>0</v>
      </c>
      <c r="H116" s="18"/>
      <c r="J116" s="11" t="s">
        <v>35</v>
      </c>
      <c r="K116" s="31">
        <v>1</v>
      </c>
      <c r="L116" s="31">
        <v>0</v>
      </c>
      <c r="M116" s="8"/>
    </row>
    <row r="117" spans="2:13" x14ac:dyDescent="0.2">
      <c r="B117" s="25">
        <v>13</v>
      </c>
      <c r="C117" s="19" t="s">
        <v>19</v>
      </c>
      <c r="D117" s="19"/>
      <c r="E117" s="18">
        <f t="shared" si="7"/>
        <v>0</v>
      </c>
      <c r="F117" s="18">
        <f t="shared" si="8"/>
        <v>0</v>
      </c>
      <c r="G117" s="18">
        <f t="shared" si="9"/>
        <v>0</v>
      </c>
      <c r="H117" s="18"/>
      <c r="J117" s="11" t="s">
        <v>19</v>
      </c>
      <c r="K117" s="31">
        <v>0</v>
      </c>
      <c r="L117" s="31">
        <v>0</v>
      </c>
      <c r="M117" s="8"/>
    </row>
    <row r="118" spans="2:13" x14ac:dyDescent="0.2">
      <c r="B118" s="25">
        <v>14</v>
      </c>
      <c r="C118" s="19" t="s">
        <v>20</v>
      </c>
      <c r="D118" s="19"/>
      <c r="E118" s="18">
        <f t="shared" si="7"/>
        <v>0</v>
      </c>
      <c r="F118" s="18">
        <f t="shared" si="8"/>
        <v>0</v>
      </c>
      <c r="G118" s="18">
        <f t="shared" si="9"/>
        <v>0</v>
      </c>
      <c r="H118" s="18"/>
      <c r="J118" s="11" t="s">
        <v>41</v>
      </c>
      <c r="K118" s="31">
        <v>0</v>
      </c>
      <c r="L118" s="31">
        <v>0</v>
      </c>
      <c r="M118" s="8"/>
    </row>
    <row r="119" spans="2:13" x14ac:dyDescent="0.2">
      <c r="B119" s="25">
        <v>15</v>
      </c>
      <c r="C119" s="19" t="s">
        <v>21</v>
      </c>
      <c r="D119" s="19"/>
      <c r="E119" s="18">
        <f t="shared" si="7"/>
        <v>0</v>
      </c>
      <c r="F119" s="18">
        <f t="shared" si="8"/>
        <v>0</v>
      </c>
      <c r="G119" s="18">
        <f t="shared" si="9"/>
        <v>0</v>
      </c>
      <c r="H119" s="18"/>
      <c r="J119" s="11" t="s">
        <v>36</v>
      </c>
      <c r="K119" s="31">
        <v>0</v>
      </c>
      <c r="L119" s="31">
        <v>0</v>
      </c>
      <c r="M119" s="8"/>
    </row>
    <row r="120" spans="2:13" x14ac:dyDescent="0.2">
      <c r="B120" s="25">
        <v>16</v>
      </c>
      <c r="C120" s="19" t="s">
        <v>29</v>
      </c>
      <c r="D120" s="19"/>
      <c r="E120" s="18">
        <f t="shared" si="7"/>
        <v>0</v>
      </c>
      <c r="F120" s="18">
        <f t="shared" si="8"/>
        <v>0</v>
      </c>
      <c r="G120" s="18">
        <f t="shared" si="9"/>
        <v>0</v>
      </c>
      <c r="H120" s="18"/>
      <c r="J120" s="11" t="s">
        <v>31</v>
      </c>
      <c r="K120" s="31">
        <v>0</v>
      </c>
      <c r="L120" s="31">
        <v>0</v>
      </c>
      <c r="M120" s="8"/>
    </row>
    <row r="121" spans="2:13" x14ac:dyDescent="0.2">
      <c r="B121" s="25">
        <v>17</v>
      </c>
      <c r="C121" s="19" t="s">
        <v>22</v>
      </c>
      <c r="D121" s="19"/>
      <c r="E121" s="18">
        <f t="shared" si="7"/>
        <v>0</v>
      </c>
      <c r="F121" s="18">
        <f t="shared" si="8"/>
        <v>0</v>
      </c>
      <c r="G121" s="18">
        <f t="shared" si="9"/>
        <v>0</v>
      </c>
      <c r="H121" s="18"/>
      <c r="J121" s="11" t="s">
        <v>38</v>
      </c>
      <c r="K121" s="31">
        <v>0</v>
      </c>
      <c r="L121" s="31">
        <v>0</v>
      </c>
      <c r="M121" s="8"/>
    </row>
    <row r="122" spans="2:13" x14ac:dyDescent="0.2">
      <c r="B122" s="25">
        <v>18</v>
      </c>
      <c r="C122" s="19" t="s">
        <v>23</v>
      </c>
      <c r="D122" s="19"/>
      <c r="E122" s="18">
        <f t="shared" si="7"/>
        <v>0</v>
      </c>
      <c r="F122" s="18">
        <f t="shared" si="8"/>
        <v>0</v>
      </c>
      <c r="G122" s="18">
        <f t="shared" si="9"/>
        <v>0</v>
      </c>
      <c r="H122" s="18"/>
      <c r="J122" s="11" t="s">
        <v>42</v>
      </c>
      <c r="K122" s="31">
        <v>0</v>
      </c>
      <c r="L122" s="31">
        <v>0</v>
      </c>
      <c r="M122" s="8"/>
    </row>
    <row r="123" spans="2:13" x14ac:dyDescent="0.2">
      <c r="B123" s="9">
        <v>19</v>
      </c>
      <c r="C123" s="4"/>
      <c r="D123" s="4"/>
      <c r="E123" s="9"/>
      <c r="F123" s="9"/>
      <c r="G123" s="9"/>
      <c r="H123" s="18"/>
      <c r="J123" s="11" t="s">
        <v>25</v>
      </c>
      <c r="K123" s="31">
        <v>1</v>
      </c>
      <c r="L123" s="31">
        <v>0</v>
      </c>
      <c r="M123" s="8"/>
    </row>
    <row r="124" spans="2:13" x14ac:dyDescent="0.2">
      <c r="B124" s="18"/>
      <c r="C124" s="19"/>
      <c r="D124" s="19"/>
      <c r="E124" s="18"/>
      <c r="F124" s="18"/>
      <c r="G124" s="18"/>
      <c r="H124" s="18"/>
    </row>
    <row r="125" spans="2:13" x14ac:dyDescent="0.2">
      <c r="B125" s="18"/>
      <c r="C125" s="19"/>
      <c r="D125" s="19"/>
      <c r="E125" s="18"/>
      <c r="F125" s="18"/>
      <c r="G125" s="18"/>
      <c r="H125" s="18"/>
    </row>
    <row r="126" spans="2:13" x14ac:dyDescent="0.2">
      <c r="B126" s="18"/>
      <c r="C126" s="19"/>
      <c r="D126" s="19"/>
      <c r="E126" s="18"/>
      <c r="F126" s="18"/>
      <c r="G126" s="18"/>
      <c r="H126" s="18"/>
    </row>
    <row r="127" spans="2:13" x14ac:dyDescent="0.2">
      <c r="B127" s="18"/>
      <c r="C127" s="19"/>
      <c r="D127" s="19"/>
      <c r="E127" s="18"/>
      <c r="F127" s="18"/>
      <c r="G127" s="18"/>
      <c r="H127" s="18"/>
    </row>
    <row r="128" spans="2:13" x14ac:dyDescent="0.2">
      <c r="B128" s="18"/>
      <c r="C128" s="19"/>
      <c r="D128" s="19"/>
      <c r="E128" s="18"/>
      <c r="F128" s="18"/>
      <c r="G128" s="18"/>
      <c r="H128" s="18"/>
      <c r="J128" s="21">
        <f>GETPIVOTDATA("Soma de Realizado",$J$104)/(GETPIVOTDATA("Soma de Pendente",$J$104)+GETPIVOTDATA("Soma de Realizado",$J$104))</f>
        <v>1</v>
      </c>
    </row>
    <row r="129" spans="2:8" x14ac:dyDescent="0.2">
      <c r="B129" s="18"/>
      <c r="C129" s="19"/>
      <c r="D129" s="19"/>
      <c r="E129" s="18"/>
      <c r="F129" s="18"/>
      <c r="G129" s="18"/>
      <c r="H129" s="18"/>
    </row>
    <row r="130" spans="2:8" x14ac:dyDescent="0.2">
      <c r="B130" s="18"/>
      <c r="C130" s="19"/>
      <c r="D130" s="19"/>
      <c r="E130" s="18"/>
      <c r="F130" s="18"/>
      <c r="G130" s="18"/>
      <c r="H130" s="18"/>
    </row>
    <row r="131" spans="2:8" x14ac:dyDescent="0.2">
      <c r="B131" s="18"/>
      <c r="C131" s="19"/>
      <c r="D131" s="19"/>
      <c r="E131" s="18"/>
      <c r="F131" s="18"/>
      <c r="G131" s="18"/>
      <c r="H131" s="18"/>
    </row>
  </sheetData>
  <sheetProtection algorithmName="SHA-512" hashValue="HSnOOUQPQZXGz/rVXn4QumUDN3lGeM04z5lOCmcfy7CczDO8zEbAS7uIHBOHJwOTLIPxLmQqGYqSXB/OabxeIw==" saltValue="Pv9wIMoh9bDTm8jfsEYQuQ==" spinCount="100000" sheet="1" formatCells="0" formatColumns="0" formatRows="0" insertRows="0" deleteRows="0"/>
  <autoFilter ref="B15:M15" xr:uid="{9454705F-053F-4B27-B26C-DE5174B73E03}">
    <filterColumn colId="1" showButton="0"/>
    <filterColumn colId="9" showButton="0"/>
    <filterColumn colId="10" showButton="0"/>
  </autoFilter>
  <mergeCells count="201">
    <mergeCell ref="K98:M98"/>
    <mergeCell ref="K99:M99"/>
    <mergeCell ref="K95:M95"/>
    <mergeCell ref="K84:M84"/>
    <mergeCell ref="K85:M85"/>
    <mergeCell ref="K86:M86"/>
    <mergeCell ref="K87:M87"/>
    <mergeCell ref="K89:M89"/>
    <mergeCell ref="K32:M32"/>
    <mergeCell ref="K92:M92"/>
    <mergeCell ref="K93:M93"/>
    <mergeCell ref="K61:M61"/>
    <mergeCell ref="K62:M62"/>
    <mergeCell ref="K63:M63"/>
    <mergeCell ref="K64:M64"/>
    <mergeCell ref="K65:M65"/>
    <mergeCell ref="K66:M66"/>
    <mergeCell ref="K101:M101"/>
    <mergeCell ref="K47:M47"/>
    <mergeCell ref="K48:M48"/>
    <mergeCell ref="K49:M49"/>
    <mergeCell ref="K50:M50"/>
    <mergeCell ref="K51:M51"/>
    <mergeCell ref="K52:M52"/>
    <mergeCell ref="K53:M53"/>
    <mergeCell ref="K54:M54"/>
    <mergeCell ref="K55:M55"/>
    <mergeCell ref="K56:M56"/>
    <mergeCell ref="K57:M57"/>
    <mergeCell ref="K58:M58"/>
    <mergeCell ref="K59:M59"/>
    <mergeCell ref="K60:M60"/>
    <mergeCell ref="K83:M83"/>
    <mergeCell ref="K100:M100"/>
    <mergeCell ref="K96:M96"/>
    <mergeCell ref="K97:M97"/>
    <mergeCell ref="K94:M94"/>
    <mergeCell ref="K72:M72"/>
    <mergeCell ref="K73:M73"/>
    <mergeCell ref="K74:M74"/>
    <mergeCell ref="K75:M75"/>
    <mergeCell ref="K76:M76"/>
    <mergeCell ref="K77:M77"/>
    <mergeCell ref="K78:M78"/>
    <mergeCell ref="K79:M79"/>
    <mergeCell ref="K80:M80"/>
    <mergeCell ref="K81:M81"/>
    <mergeCell ref="K82:M82"/>
    <mergeCell ref="K90:M90"/>
    <mergeCell ref="K91:M91"/>
    <mergeCell ref="L9:M9"/>
    <mergeCell ref="K15:M15"/>
    <mergeCell ref="K44:M44"/>
    <mergeCell ref="K45:M45"/>
    <mergeCell ref="K37:M37"/>
    <mergeCell ref="K38:M38"/>
    <mergeCell ref="K40:M40"/>
    <mergeCell ref="K41:M41"/>
    <mergeCell ref="K39:M39"/>
    <mergeCell ref="K43:M43"/>
    <mergeCell ref="K17:M17"/>
    <mergeCell ref="K34:M34"/>
    <mergeCell ref="K35:M35"/>
    <mergeCell ref="K88:M88"/>
    <mergeCell ref="K33:M33"/>
    <mergeCell ref="K31:M31"/>
    <mergeCell ref="K46:M46"/>
    <mergeCell ref="K67:M67"/>
    <mergeCell ref="K68:M68"/>
    <mergeCell ref="K69:M69"/>
    <mergeCell ref="K70:M70"/>
    <mergeCell ref="K71:M71"/>
    <mergeCell ref="K36:M36"/>
    <mergeCell ref="K42:M42"/>
    <mergeCell ref="K4:K8"/>
    <mergeCell ref="K30:M30"/>
    <mergeCell ref="K16:M16"/>
    <mergeCell ref="K12:M13"/>
    <mergeCell ref="K11:M11"/>
    <mergeCell ref="B11:J13"/>
    <mergeCell ref="K21:M21"/>
    <mergeCell ref="K28:M28"/>
    <mergeCell ref="K29:M29"/>
    <mergeCell ref="K27:M27"/>
    <mergeCell ref="K24:M24"/>
    <mergeCell ref="K26:M26"/>
    <mergeCell ref="K18:M18"/>
    <mergeCell ref="K22:M22"/>
    <mergeCell ref="K23:M23"/>
    <mergeCell ref="K25:M25"/>
    <mergeCell ref="K20:M20"/>
    <mergeCell ref="K19:M19"/>
    <mergeCell ref="E8:F8"/>
    <mergeCell ref="E9:F9"/>
    <mergeCell ref="G3:H3"/>
    <mergeCell ref="G4:H4"/>
    <mergeCell ref="G5:H5"/>
    <mergeCell ref="G6:H6"/>
    <mergeCell ref="G7:H7"/>
    <mergeCell ref="G8:H8"/>
    <mergeCell ref="G9:H9"/>
    <mergeCell ref="E3:F3"/>
    <mergeCell ref="E4:F4"/>
    <mergeCell ref="E5:F5"/>
    <mergeCell ref="E6:F6"/>
    <mergeCell ref="E7:F7"/>
    <mergeCell ref="C20:D20"/>
    <mergeCell ref="C21:D21"/>
    <mergeCell ref="C22:D22"/>
    <mergeCell ref="C23:D23"/>
    <mergeCell ref="C24:D24"/>
    <mergeCell ref="C16:D16"/>
    <mergeCell ref="C15:D15"/>
    <mergeCell ref="C17:D17"/>
    <mergeCell ref="C18:D18"/>
    <mergeCell ref="C19:D19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89:D8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B2:M2"/>
    <mergeCell ref="C100:D100"/>
    <mergeCell ref="C101:D101"/>
    <mergeCell ref="B3:C3"/>
    <mergeCell ref="B4:C4"/>
    <mergeCell ref="B5:C5"/>
    <mergeCell ref="B6:C6"/>
    <mergeCell ref="B7:C7"/>
    <mergeCell ref="B8:C8"/>
    <mergeCell ref="B9:C9"/>
    <mergeCell ref="C95:D95"/>
    <mergeCell ref="C96:D96"/>
    <mergeCell ref="C97:D97"/>
    <mergeCell ref="C98:D98"/>
    <mergeCell ref="C99:D9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</mergeCells>
  <phoneticPr fontId="7" type="noConversion"/>
  <conditionalFormatting sqref="K12:M13">
    <cfRule type="dataBar" priority="8">
      <dataBar>
        <cfvo type="num" val="0"/>
        <cfvo type="num" val="1"/>
        <color theme="0" tint="-0.499984740745262"/>
      </dataBar>
      <extLst>
        <ext xmlns:x14="http://schemas.microsoft.com/office/spreadsheetml/2009/9/main" uri="{B025F937-C7B1-47D3-B67F-A62EFF666E3E}">
          <x14:id>{7D1394CB-5DA4-4195-AD53-F9F2B6807D65}</x14:id>
        </ext>
      </extLst>
    </cfRule>
  </conditionalFormatting>
  <conditionalFormatting sqref="I16:I101">
    <cfRule type="iconSet" priority="14">
      <iconSet iconSet="3Symbols">
        <cfvo type="percent" val="0"/>
        <cfvo type="percent" val="33"/>
        <cfvo type="percent" val="67"/>
      </iconSet>
    </cfRule>
  </conditionalFormatting>
  <dataValidations disablePrompts="1" count="2">
    <dataValidation type="list" allowBlank="1" showInputMessage="1" showErrorMessage="1" sqref="E63:E101" xr:uid="{05709431-4652-4F90-828B-B59A493AA5C5}">
      <formula1>responsavel</formula1>
    </dataValidation>
    <dataValidation type="list" allowBlank="1" showInputMessage="1" showErrorMessage="1" sqref="E16:E62" xr:uid="{6298A460-B17C-4A1A-A15D-7C1CD334517C}">
      <formula1>$C$105:$C$122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57" fitToHeight="0" orientation="landscape" r:id="rId2"/>
  <headerFooter>
    <oddFooter>&amp;LFM-022_REV.00</oddFooter>
  </headerFooter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D1394CB-5DA4-4195-AD53-F9F2B6807D65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K12:M13</xm:sqref>
        </x14:conditionalFormatting>
        <x14:conditionalFormatting xmlns:xm="http://schemas.microsoft.com/office/excel/2006/main">
          <x14:cfRule type="containsText" priority="12" operator="containsText" id="{501143EA-9D70-48CC-9166-7F02EDA5E952}">
            <xm:f>NOT(ISERROR(SEARCH("-",K4)))</xm:f>
            <xm:f>"-"</xm:f>
            <x14:dxf>
              <font>
                <color rgb="FFFF0000"/>
              </font>
              <fill>
                <patternFill>
                  <bgColor theme="4" tint="0.79998168889431442"/>
                </patternFill>
              </fill>
            </x14:dxf>
          </x14:cfRule>
          <xm:sqref>K4:K5 L9</xm:sqref>
        </x14:conditionalFormatting>
        <x14:conditionalFormatting xmlns:xm="http://schemas.microsoft.com/office/excel/2006/main">
          <x14:cfRule type="iconSet" priority="10" id="{2EC4B3CB-2EFC-4D92-93BF-09F6C212EB78}">
            <x14:iconSet iconSet="3Symbols2" showValue="0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</xm:f>
              </x14:cfvo>
              <x14:cfIcon iconSet="NoIcons" iconId="0"/>
              <x14:cfIcon iconSet="3Flags" iconId="2"/>
              <x14:cfIcon iconSet="3Flags" iconId="1"/>
            </x14:iconSet>
          </x14:cfRule>
          <xm:sqref>K4:K5 K8</xm:sqref>
        </x14:conditionalFormatting>
        <x14:conditionalFormatting xmlns:xm="http://schemas.microsoft.com/office/excel/2006/main">
          <x14:cfRule type="containsText" priority="7" operator="containsText" id="{C40C1C16-39E9-49BB-892D-33A4AF05B441}">
            <xm:f>NOT(ISERROR(SEARCH("-",D3)))</xm:f>
            <xm:f>"-"</xm:f>
            <x14:dxf>
              <font>
                <color rgb="FFFF0000"/>
              </font>
              <fill>
                <patternFill>
                  <bgColor theme="4" tint="0.79998168889431442"/>
                </patternFill>
              </fill>
            </x14:dxf>
          </x14:cfRule>
          <xm:sqref>D3:D9</xm:sqref>
        </x14:conditionalFormatting>
        <x14:conditionalFormatting xmlns:xm="http://schemas.microsoft.com/office/excel/2006/main">
          <x14:cfRule type="containsText" priority="6" operator="containsText" id="{31432E43-49E7-4575-9D8B-B82479371A33}">
            <xm:f>NOT(ISERROR(SEARCH("-",D3)))</xm:f>
            <xm:f>"-"</xm:f>
            <x14:dxf>
              <font>
                <color rgb="FFFF0000"/>
              </font>
              <fill>
                <patternFill>
                  <bgColor theme="3" tint="0.79998168889431442"/>
                </patternFill>
              </fill>
            </x14:dxf>
          </x14:cfRule>
          <xm:sqref>G3 D3:D9</xm:sqref>
        </x14:conditionalFormatting>
        <x14:conditionalFormatting xmlns:xm="http://schemas.microsoft.com/office/excel/2006/main">
          <x14:cfRule type="containsText" priority="1" operator="containsText" id="{B8EC80AB-2477-4869-AC28-4F656F48FC3E}">
            <xm:f>NOT(ISERROR(SEARCH("-",G4)))</xm:f>
            <xm:f>"-"</xm:f>
            <x14:dxf>
              <font>
                <color rgb="FFFF0000"/>
              </font>
              <fill>
                <patternFill>
                  <bgColor theme="3" tint="0.79998168889431442"/>
                </patternFill>
              </fill>
            </x14:dxf>
          </x14:cfRule>
          <xm:sqref>G4:G9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D3BB8-3144-4AEB-AC0C-C533E6648C04}">
  <dimension ref="A1:C10"/>
  <sheetViews>
    <sheetView showGridLines="0" workbookViewId="0">
      <selection activeCell="C10" sqref="C10"/>
    </sheetView>
  </sheetViews>
  <sheetFormatPr defaultRowHeight="14.25" x14ac:dyDescent="0.2"/>
  <cols>
    <col min="1" max="1" width="9.140625" style="37"/>
    <col min="2" max="2" width="11.28515625" style="37" bestFit="1" customWidth="1"/>
    <col min="3" max="3" width="51.42578125" style="37" customWidth="1"/>
    <col min="4" max="16384" width="9.140625" style="37"/>
  </cols>
  <sheetData>
    <row r="1" spans="1:3" ht="15" x14ac:dyDescent="0.25">
      <c r="A1" s="36" t="s">
        <v>56</v>
      </c>
      <c r="B1" s="36" t="s">
        <v>2</v>
      </c>
      <c r="C1" s="36" t="s">
        <v>57</v>
      </c>
    </row>
    <row r="2" spans="1:3" x14ac:dyDescent="0.2">
      <c r="A2" s="38">
        <v>0</v>
      </c>
      <c r="B2" s="39">
        <v>45565</v>
      </c>
      <c r="C2" s="38" t="s">
        <v>58</v>
      </c>
    </row>
    <row r="3" spans="1:3" x14ac:dyDescent="0.2">
      <c r="A3" s="38"/>
      <c r="B3" s="39"/>
      <c r="C3" s="38"/>
    </row>
    <row r="4" spans="1:3" x14ac:dyDescent="0.2">
      <c r="A4" s="38"/>
      <c r="B4" s="39"/>
      <c r="C4" s="40"/>
    </row>
    <row r="5" spans="1:3" x14ac:dyDescent="0.2">
      <c r="A5" s="38"/>
      <c r="B5" s="38"/>
      <c r="C5" s="38"/>
    </row>
    <row r="6" spans="1:3" x14ac:dyDescent="0.2">
      <c r="A6" s="38"/>
      <c r="B6" s="38"/>
      <c r="C6" s="38"/>
    </row>
    <row r="7" spans="1:3" x14ac:dyDescent="0.2">
      <c r="A7" s="38"/>
      <c r="B7" s="38"/>
      <c r="C7" s="38"/>
    </row>
    <row r="8" spans="1:3" x14ac:dyDescent="0.2">
      <c r="A8" s="38"/>
      <c r="B8" s="38"/>
      <c r="C8" s="38"/>
    </row>
    <row r="9" spans="1:3" x14ac:dyDescent="0.2">
      <c r="A9" s="38"/>
      <c r="B9" s="38"/>
      <c r="C9" s="38"/>
    </row>
    <row r="10" spans="1:3" x14ac:dyDescent="0.2">
      <c r="A10" s="38"/>
      <c r="B10" s="38"/>
      <c r="C10" s="38"/>
    </row>
  </sheetData>
  <sheetProtection algorithmName="SHA-512" hashValue="4f7vlCSfM/x8JSspeJxNZ20fMyCAZnfwadkdZSUXDKZa6DOm/8HsB1LAQhWlX3+bKXOP52ekgzhtgF0sfmXiQQ==" saltValue="CtwAhOKapBTZ6Kn9m4Xhmw==" spinCount="100000"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Controle de pendências</vt:lpstr>
      <vt:lpstr>Controle_Revisao</vt:lpstr>
      <vt:lpstr>'Controle de pendências'!Area_de_impressao</vt:lpstr>
      <vt:lpstr>'Controle de pendências'!Titulos_de_impressao</vt:lpstr>
    </vt:vector>
  </TitlesOfParts>
  <Company>Vertex42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 Chart Template</dc:title>
  <dc:creator>DESA</dc:creator>
  <dc:description>(c) 2006-2018 Vertex42 LLC. All Rights Reserved.</dc:description>
  <cp:lastModifiedBy>Christiane</cp:lastModifiedBy>
  <cp:lastPrinted>2024-10-07T18:02:10Z</cp:lastPrinted>
  <dcterms:created xsi:type="dcterms:W3CDTF">2010-06-09T16:05:03Z</dcterms:created>
  <dcterms:modified xsi:type="dcterms:W3CDTF">2024-10-07T18:03:15Z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pyright">
    <vt:lpwstr>2018 Vertex42 LLC</vt:lpwstr>
  </property>
  <property fmtid="{D5CDD505-2E9C-101B-9397-08002B2CF9AE}" pid="3" name="Version">
    <vt:lpwstr>3.1.1</vt:lpwstr>
  </property>
  <property fmtid="{D5CDD505-2E9C-101B-9397-08002B2CF9AE}" pid="4" name="Source">
    <vt:lpwstr>https://www.vertex42.com/ExcelTemplates/excel-gantt-chart.html</vt:lpwstr>
  </property>
</Properties>
</file>